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dungv\AppData\Local\Temp\claude\D--Projects-SEP490\788ce09a-2b62-4321-a54d-aa61c20ff6e4\scratchpad\"/>
    </mc:Choice>
  </mc:AlternateContent>
  <xr:revisionPtr revIDLastSave="0" documentId="13_ncr:1_{3630C7FB-5982-461B-A681-58D74018668A}" xr6:coauthVersionLast="47" xr6:coauthVersionMax="47" xr10:uidLastSave="{00000000-0000-0000-0000-000000000000}"/>
  <bookViews>
    <workbookView xWindow="-108" yWindow="-108" windowWidth="30000" windowHeight="17496" tabRatio="821" xr2:uid="{00000000-000D-0000-FFFF-FFFF00000000}"/>
  </bookViews>
  <sheets>
    <sheet name="Cover" sheetId="9" r:id="rId1"/>
    <sheet name="Test Cases" sheetId="2" r:id="rId2"/>
    <sheet name="Test Statistics" sheetId="5" r:id="rId3"/>
    <sheet name="Authentication" sheetId="10" r:id="rId4"/>
    <sheet name="Cart and Checkout" sheetId="11" r:id="rId5"/>
    <sheet name="Payment and Cancellation" sheetId="12" r:id="rId6"/>
    <sheet name="Delivery" sheetId="13" r:id="rId7"/>
    <sheet name="Returns Refunds and Exchanges" sheetId="14" r:id="rId8"/>
    <sheet name="API Authorization and Robustnes" sheetId="15" r:id="rId9"/>
    <sheet name="Catalog" sheetId="16" r:id="rId10"/>
    <sheet name="3D Model Queue" sheetId="17" r:id="rId11"/>
    <sheet name="Store and Staff" sheetId="18" r:id="rId12"/>
    <sheet name="User Administration" sheetId="19" r:id="rId13"/>
    <sheet name="Scoring Configuration" sheetId="20" r:id="rId14"/>
    <sheet name="Workspace Profile" sheetId="21" r:id="rId15"/>
    <sheet name="Recommendation and Review" sheetId="22" r:id="rId16"/>
    <sheet name="Shipping and Notification" sheetId="23" r:id="rId17"/>
    <sheet name="Address and Taxonomy" sheetId="24" r:id="rId18"/>
    <sheet name="SLA and Refund Pipeline" sheetId="25" r:id="rId19"/>
    <sheet name="Vendor Liability" sheetId="26" r:id="rId20"/>
    <sheet name="Defect Probes" sheetId="27" r:id="rId21"/>
    <sheet name="Defect Log" sheetId="28" r:id="rId22"/>
  </sheets>
  <definedNames>
    <definedName name="_xlnm._FilterDatabase" localSheetId="10" hidden="1">'3D Model Queue'!$A$10:$O$10</definedName>
    <definedName name="_xlnm._FilterDatabase" localSheetId="17" hidden="1">'Address and Taxonomy'!$A$10:$O$10</definedName>
    <definedName name="_xlnm._FilterDatabase" localSheetId="8" hidden="1">'API Authorization and Robustnes'!$A$10:$O$10</definedName>
    <definedName name="_xlnm._FilterDatabase" localSheetId="3" hidden="1">Authentication!$A$10:$O$10</definedName>
    <definedName name="_xlnm._FilterDatabase" localSheetId="4" hidden="1">'Cart and Checkout'!$A$10:$O$10</definedName>
    <definedName name="_xlnm._FilterDatabase" localSheetId="9" hidden="1">Catalog!$A$10:$O$10</definedName>
    <definedName name="_xlnm._FilterDatabase" localSheetId="21" hidden="1">'Defect Log'!$A$10:$O$18</definedName>
    <definedName name="_xlnm._FilterDatabase" localSheetId="20" hidden="1">'Defect Probes'!$A$10:$O$10</definedName>
    <definedName name="_xlnm._FilterDatabase" localSheetId="6" hidden="1">Delivery!$A$10:$O$10</definedName>
    <definedName name="_xlnm._FilterDatabase" localSheetId="5" hidden="1">'Payment and Cancellation'!$A$10:$O$10</definedName>
    <definedName name="_xlnm._FilterDatabase" localSheetId="15" hidden="1">'Recommendation and Review'!$A$10:$O$10</definedName>
    <definedName name="_xlnm._FilterDatabase" localSheetId="7" hidden="1">'Returns Refunds and Exchanges'!$A$10:$O$10</definedName>
    <definedName name="_xlnm._FilterDatabase" localSheetId="13" hidden="1">'Scoring Configuration'!$A$10:$O$10</definedName>
    <definedName name="_xlnm._FilterDatabase" localSheetId="16" hidden="1">'Shipping and Notification'!$A$10:$O$10</definedName>
    <definedName name="_xlnm._FilterDatabase" localSheetId="18" hidden="1">'SLA and Refund Pipeline'!$A$10:$O$10</definedName>
    <definedName name="_xlnm._FilterDatabase" localSheetId="11" hidden="1">'Store and Staff'!$A$10:$O$10</definedName>
    <definedName name="_xlnm._FilterDatabase" localSheetId="12" hidden="1">'User Administration'!$A$10:$O$10</definedName>
    <definedName name="_xlnm._FilterDatabase" localSheetId="19" hidden="1">'Vendor Liability'!$A$10:$O$10</definedName>
    <definedName name="_xlnm._FilterDatabase" localSheetId="14" hidden="1">'Workspace Profile'!$A$10:$O$10</definedName>
    <definedName name="ACTION" localSheetId="0">#REF!</definedName>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5" l="1"/>
  <c r="E31" i="5"/>
  <c r="H29" i="5"/>
  <c r="G29" i="5"/>
  <c r="F29" i="5"/>
  <c r="E29" i="5"/>
  <c r="D29" i="5"/>
  <c r="H28" i="5"/>
  <c r="G28" i="5"/>
  <c r="F28" i="5"/>
  <c r="E28" i="5"/>
  <c r="D28" i="5"/>
  <c r="C28" i="5"/>
  <c r="H27" i="5"/>
  <c r="G27" i="5"/>
  <c r="F27" i="5"/>
  <c r="E27" i="5"/>
  <c r="D27" i="5"/>
  <c r="C27" i="5"/>
  <c r="H26" i="5"/>
  <c r="G26" i="5"/>
  <c r="F26" i="5"/>
  <c r="E26" i="5"/>
  <c r="D26" i="5"/>
  <c r="C26" i="5"/>
  <c r="H25" i="5"/>
  <c r="G25" i="5"/>
  <c r="F25" i="5"/>
  <c r="E25" i="5"/>
  <c r="D25" i="5"/>
  <c r="C25" i="5"/>
  <c r="H24" i="5"/>
  <c r="G24" i="5"/>
  <c r="F24" i="5"/>
  <c r="E24" i="5"/>
  <c r="D24" i="5"/>
  <c r="C24" i="5"/>
  <c r="H23" i="5"/>
  <c r="G23" i="5"/>
  <c r="F23" i="5"/>
  <c r="E23" i="5"/>
  <c r="D23" i="5"/>
  <c r="C23" i="5"/>
  <c r="H22" i="5"/>
  <c r="G22" i="5"/>
  <c r="F22" i="5"/>
  <c r="E22" i="5"/>
  <c r="D22" i="5"/>
  <c r="C22" i="5"/>
  <c r="H21" i="5"/>
  <c r="G21" i="5"/>
  <c r="F21" i="5"/>
  <c r="E21" i="5"/>
  <c r="D21" i="5"/>
  <c r="C21" i="5"/>
  <c r="H20" i="5"/>
  <c r="G20" i="5"/>
  <c r="F20" i="5"/>
  <c r="E20" i="5"/>
  <c r="D20" i="5"/>
  <c r="C20" i="5"/>
  <c r="H19" i="5"/>
  <c r="G19" i="5"/>
  <c r="F19" i="5"/>
  <c r="E19" i="5"/>
  <c r="D19" i="5"/>
  <c r="C19" i="5"/>
  <c r="H18" i="5"/>
  <c r="G18" i="5"/>
  <c r="F18" i="5"/>
  <c r="E18" i="5"/>
  <c r="D18" i="5"/>
  <c r="C18" i="5"/>
  <c r="H17" i="5"/>
  <c r="G17" i="5"/>
  <c r="F17" i="5"/>
  <c r="E17" i="5"/>
  <c r="D17" i="5"/>
  <c r="C17" i="5"/>
  <c r="H16" i="5"/>
  <c r="G16" i="5"/>
  <c r="F16" i="5"/>
  <c r="E16" i="5"/>
  <c r="D16" i="5"/>
  <c r="C16" i="5"/>
  <c r="H15" i="5"/>
  <c r="G15" i="5"/>
  <c r="F15" i="5"/>
  <c r="E15" i="5"/>
  <c r="D15" i="5"/>
  <c r="C15" i="5"/>
  <c r="H14" i="5"/>
  <c r="G14" i="5"/>
  <c r="F14" i="5"/>
  <c r="E14" i="5"/>
  <c r="D14" i="5"/>
  <c r="C14" i="5"/>
  <c r="H13" i="5"/>
  <c r="G13" i="5"/>
  <c r="F13" i="5"/>
  <c r="E13" i="5"/>
  <c r="D13" i="5"/>
  <c r="C13" i="5"/>
  <c r="H12" i="5"/>
  <c r="G12" i="5"/>
  <c r="F12" i="5"/>
  <c r="E12" i="5"/>
  <c r="D12" i="5"/>
  <c r="C12" i="5"/>
  <c r="H11" i="5"/>
  <c r="G11" i="5"/>
  <c r="F11" i="5"/>
  <c r="E11" i="5"/>
  <c r="D11" i="5"/>
  <c r="C11" i="5"/>
  <c r="C5" i="5"/>
  <c r="B6" i="9"/>
  <c r="E8" i="27"/>
  <c r="D8" i="27"/>
  <c r="C8" i="27"/>
  <c r="B8" i="27"/>
  <c r="E7" i="27"/>
  <c r="D7" i="27"/>
  <c r="C7" i="27"/>
  <c r="B7" i="27"/>
  <c r="E6" i="27"/>
  <c r="D6" i="27"/>
  <c r="C6" i="27"/>
  <c r="B6" i="27"/>
  <c r="B4" i="27"/>
  <c r="E8" i="26"/>
  <c r="D8" i="26"/>
  <c r="C8" i="26"/>
  <c r="B8" i="26"/>
  <c r="E7" i="26"/>
  <c r="D7" i="26"/>
  <c r="C7" i="26"/>
  <c r="B7" i="26"/>
  <c r="E6" i="26"/>
  <c r="D6" i="26"/>
  <c r="C6" i="26"/>
  <c r="B6" i="26"/>
  <c r="B4" i="26"/>
  <c r="E8" i="25"/>
  <c r="D8" i="25"/>
  <c r="C8" i="25"/>
  <c r="B8" i="25"/>
  <c r="E7" i="25"/>
  <c r="D7" i="25"/>
  <c r="C7" i="25"/>
  <c r="B7" i="25"/>
  <c r="E6" i="25"/>
  <c r="D6" i="25"/>
  <c r="C6" i="25"/>
  <c r="B6" i="25"/>
  <c r="B4" i="25"/>
  <c r="E8" i="24"/>
  <c r="D8" i="24"/>
  <c r="C8" i="24"/>
  <c r="B8" i="24"/>
  <c r="E7" i="24"/>
  <c r="D7" i="24"/>
  <c r="C7" i="24"/>
  <c r="B7" i="24"/>
  <c r="E6" i="24"/>
  <c r="D6" i="24"/>
  <c r="C6" i="24"/>
  <c r="B6" i="24"/>
  <c r="B4" i="24"/>
  <c r="E8" i="23"/>
  <c r="D8" i="23"/>
  <c r="C8" i="23"/>
  <c r="B8" i="23"/>
  <c r="E7" i="23"/>
  <c r="D7" i="23"/>
  <c r="C7" i="23"/>
  <c r="B7" i="23"/>
  <c r="E6" i="23"/>
  <c r="D6" i="23"/>
  <c r="C6" i="23"/>
  <c r="B6" i="23"/>
  <c r="B4" i="23"/>
  <c r="E8" i="22"/>
  <c r="D8" i="22"/>
  <c r="C8" i="22"/>
  <c r="B8" i="22"/>
  <c r="E7" i="22"/>
  <c r="D7" i="22"/>
  <c r="C7" i="22"/>
  <c r="B7" i="22"/>
  <c r="E6" i="22"/>
  <c r="D6" i="22"/>
  <c r="C6" i="22"/>
  <c r="B6" i="22"/>
  <c r="B4" i="22"/>
  <c r="E8" i="21"/>
  <c r="D8" i="21"/>
  <c r="C8" i="21"/>
  <c r="B8" i="21"/>
  <c r="E7" i="21"/>
  <c r="D7" i="21"/>
  <c r="C7" i="21"/>
  <c r="B7" i="21"/>
  <c r="E6" i="21"/>
  <c r="D6" i="21"/>
  <c r="C6" i="21"/>
  <c r="B6" i="21"/>
  <c r="B4" i="21"/>
  <c r="E8" i="20"/>
  <c r="D8" i="20"/>
  <c r="C8" i="20"/>
  <c r="B8" i="20"/>
  <c r="E7" i="20"/>
  <c r="D7" i="20"/>
  <c r="C7" i="20"/>
  <c r="B7" i="20"/>
  <c r="E6" i="20"/>
  <c r="D6" i="20"/>
  <c r="C6" i="20"/>
  <c r="B6" i="20"/>
  <c r="B4" i="20"/>
  <c r="E8" i="19"/>
  <c r="D8" i="19"/>
  <c r="C8" i="19"/>
  <c r="B8" i="19"/>
  <c r="E7" i="19"/>
  <c r="D7" i="19"/>
  <c r="C7" i="19"/>
  <c r="B7" i="19"/>
  <c r="E6" i="19"/>
  <c r="D6" i="19"/>
  <c r="C6" i="19"/>
  <c r="B6" i="19"/>
  <c r="B4" i="19"/>
  <c r="E8" i="18"/>
  <c r="D8" i="18"/>
  <c r="C8" i="18"/>
  <c r="B8" i="18"/>
  <c r="E7" i="18"/>
  <c r="D7" i="18"/>
  <c r="C7" i="18"/>
  <c r="B7" i="18"/>
  <c r="E6" i="18"/>
  <c r="D6" i="18"/>
  <c r="C6" i="18"/>
  <c r="B6" i="18"/>
  <c r="B4" i="18"/>
  <c r="E8" i="17"/>
  <c r="D8" i="17"/>
  <c r="C8" i="17"/>
  <c r="B8" i="17"/>
  <c r="E7" i="17"/>
  <c r="D7" i="17"/>
  <c r="C7" i="17"/>
  <c r="B7" i="17"/>
  <c r="E6" i="17"/>
  <c r="D6" i="17"/>
  <c r="C6" i="17"/>
  <c r="B6" i="17"/>
  <c r="B4" i="17"/>
  <c r="E8" i="16"/>
  <c r="D8" i="16"/>
  <c r="C8" i="16"/>
  <c r="B8" i="16"/>
  <c r="E7" i="16"/>
  <c r="D7" i="16"/>
  <c r="C7" i="16"/>
  <c r="B7" i="16"/>
  <c r="E6" i="16"/>
  <c r="D6" i="16"/>
  <c r="C6" i="16"/>
  <c r="B6" i="16"/>
  <c r="B4" i="16"/>
  <c r="E8" i="15"/>
  <c r="D8" i="15"/>
  <c r="C8" i="15"/>
  <c r="B8" i="15"/>
  <c r="E7" i="15"/>
  <c r="D7" i="15"/>
  <c r="C7" i="15"/>
  <c r="B7" i="15"/>
  <c r="E6" i="15"/>
  <c r="D6" i="15"/>
  <c r="C6" i="15"/>
  <c r="B6" i="15"/>
  <c r="B4" i="15"/>
  <c r="E8" i="14"/>
  <c r="D8" i="14"/>
  <c r="C8" i="14"/>
  <c r="B8" i="14"/>
  <c r="E7" i="14"/>
  <c r="D7" i="14"/>
  <c r="C7" i="14"/>
  <c r="B7" i="14"/>
  <c r="E6" i="14"/>
  <c r="D6" i="14"/>
  <c r="C6" i="14"/>
  <c r="B6" i="14"/>
  <c r="B4" i="14"/>
  <c r="E8" i="13"/>
  <c r="D8" i="13"/>
  <c r="C8" i="13"/>
  <c r="B8" i="13"/>
  <c r="E7" i="13"/>
  <c r="D7" i="13"/>
  <c r="C7" i="13"/>
  <c r="B7" i="13"/>
  <c r="E6" i="13"/>
  <c r="D6" i="13"/>
  <c r="C6" i="13"/>
  <c r="B6" i="13"/>
  <c r="B4" i="13"/>
  <c r="E8" i="12"/>
  <c r="D8" i="12"/>
  <c r="C8" i="12"/>
  <c r="B8" i="12"/>
  <c r="E7" i="12"/>
  <c r="D7" i="12"/>
  <c r="C7" i="12"/>
  <c r="B7" i="12"/>
  <c r="E6" i="12"/>
  <c r="D6" i="12"/>
  <c r="C6" i="12"/>
  <c r="B6" i="12"/>
  <c r="B4" i="12"/>
  <c r="E8" i="11"/>
  <c r="D8" i="11"/>
  <c r="C8" i="11"/>
  <c r="B8" i="11"/>
  <c r="E7" i="11"/>
  <c r="D7" i="11"/>
  <c r="C7" i="11"/>
  <c r="B7" i="11"/>
  <c r="E6" i="11"/>
  <c r="D6" i="11"/>
  <c r="C6" i="11"/>
  <c r="B6" i="11"/>
  <c r="B4" i="11"/>
  <c r="E8" i="10"/>
  <c r="D8" i="10"/>
  <c r="C8" i="10"/>
  <c r="B8" i="10"/>
  <c r="E7" i="10"/>
  <c r="D7" i="10"/>
  <c r="C7" i="10"/>
  <c r="B7" i="10"/>
  <c r="E6" i="10"/>
  <c r="D6" i="10"/>
  <c r="C6" i="10"/>
  <c r="B6" i="10"/>
  <c r="B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0" authorId="0" shapeId="0" xr:uid="{C47225F5-221F-9443-B842-2F7F73318C79}">
      <text>
        <r>
          <rPr>
            <b/>
            <sz val="8"/>
            <color indexed="81"/>
            <rFont val="Tahoma"/>
            <family val="2"/>
          </rPr>
          <t>*A</t>
        </r>
        <r>
          <rPr>
            <sz val="8"/>
            <color indexed="81"/>
            <rFont val="Tahoma"/>
            <family val="2"/>
          </rPr>
          <t xml:space="preserve">: Add
  </t>
        </r>
        <r>
          <rPr>
            <b/>
            <sz val="8"/>
            <color indexed="81"/>
            <rFont val="Tahoma"/>
            <family val="2"/>
          </rPr>
          <t>M</t>
        </r>
        <r>
          <rPr>
            <sz val="8"/>
            <color indexed="81"/>
            <rFont val="Tahoma"/>
            <family val="2"/>
          </rPr>
          <t xml:space="preserve">: Modify
  </t>
        </r>
        <r>
          <rPr>
            <b/>
            <sz val="8"/>
            <color indexed="81"/>
            <rFont val="Tahoma"/>
            <family val="2"/>
          </rPr>
          <t>D</t>
        </r>
        <r>
          <rPr>
            <sz val="8"/>
            <color indexed="81"/>
            <rFont val="Tahoma"/>
            <family val="2"/>
          </rPr>
          <t xml:space="preserve">: Delete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AB915EE4-E63D-4E4B-9B02-D47011497E8C}">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FC632E15-3DCC-4241-8FEF-79F1CE046B56}">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F1A35FAC-2143-4D9D-817E-5C3831D0FC81}">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D3DC3F1D-5405-469C-9086-277BB724A04E}">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70421E98-3E94-425C-B2DE-8101DDDEEB71}">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8D7FF6E1-7103-4A91-87F6-2728D962A1F1}">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E0D41695-DED1-4C8B-87C6-80089F328C9D}">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57E4077E-1F91-411B-979A-AF1FF7EA9C02}">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863EB7AD-077C-4DF2-B14A-D6F3046D392A}">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F124F64B-8145-4B8F-B87E-F834FD4D21CE}">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776C0267-0846-45BF-A1D1-55F3E4187E96}">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02FC5654-8B32-4A9D-897E-93F2466B88DA}">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84EE178F-8A91-42B2-AF43-B7A9203AAC88}">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83A71966-3DE0-4E7F-A94B-FE4BB705D7A5}">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FA55C0CD-29C0-47FF-9978-E8448EE26BFA}">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1A41D514-7C6A-4587-A943-8A199E9DEF74}">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DEBCCD5A-22FE-40D0-A409-4F787FAA1127}">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3BB853BC-669A-4DF4-BB74-7729D34C0A84}">
      <text>
        <r>
          <rPr>
            <sz val="8"/>
            <color rgb="FF000000"/>
            <rFont val="Tahoma"/>
            <family val="2"/>
          </rPr>
          <t>List all test cases (must run before this case), conditions that must be done, or required state that the system should be in before performing this case</t>
        </r>
      </text>
    </comment>
  </commentList>
</comments>
</file>

<file path=xl/sharedStrings.xml><?xml version="1.0" encoding="utf-8"?>
<sst xmlns="http://schemas.openxmlformats.org/spreadsheetml/2006/main" count="5756" uniqueCount="1376">
  <si>
    <t>Project Name</t>
  </si>
  <si>
    <t>Creator</t>
  </si>
  <si>
    <t>Project Code</t>
  </si>
  <si>
    <t>Reviewer/Approver</t>
  </si>
  <si>
    <t>Document Code</t>
  </si>
  <si>
    <t>Issue Date</t>
  </si>
  <si>
    <t>Version</t>
  </si>
  <si>
    <t>Record of change</t>
  </si>
  <si>
    <t>Effective Date</t>
  </si>
  <si>
    <t>Change Item</t>
  </si>
  <si>
    <t>*A,D,M</t>
  </si>
  <si>
    <t>Change description</t>
  </si>
  <si>
    <t>Reference</t>
  </si>
  <si>
    <t>TEST CASE LIST</t>
  </si>
  <si>
    <t>Test Environment Setup Description</t>
  </si>
  <si>
    <t>No</t>
  </si>
  <si>
    <t>Function Name</t>
  </si>
  <si>
    <t>Sheet Name</t>
  </si>
  <si>
    <t>Description</t>
  </si>
  <si>
    <t>Pre-Condition</t>
  </si>
  <si>
    <t>Test requirement</t>
  </si>
  <si>
    <t>Tester</t>
  </si>
  <si>
    <t>N/A</t>
  </si>
  <si>
    <t>Test Case Description</t>
  </si>
  <si>
    <t>Test date</t>
  </si>
  <si>
    <t>Note</t>
  </si>
  <si>
    <t>Notes</t>
  </si>
  <si>
    <t>Module code</t>
  </si>
  <si>
    <t>Number of  test cases</t>
  </si>
  <si>
    <t>Sub total</t>
  </si>
  <si>
    <t>Test coverage</t>
  </si>
  <si>
    <t>%</t>
  </si>
  <si>
    <t>Test successful coverage</t>
  </si>
  <si>
    <t>Expected Results</t>
  </si>
  <si>
    <t>Test Case Procedure</t>
  </si>
  <si>
    <t>Feature</t>
  </si>
  <si>
    <t>Pending</t>
  </si>
  <si>
    <t>Passed</t>
  </si>
  <si>
    <t>Failed</t>
  </si>
  <si>
    <t>Testing Round</t>
  </si>
  <si>
    <t>Round 1</t>
  </si>
  <si>
    <t>Pre-conditions</t>
  </si>
  <si>
    <t>Round 2</t>
  </si>
  <si>
    <t>Round 3</t>
  </si>
  <si>
    <t>Test Case ID</t>
  </si>
  <si>
    <t>Number of TCs</t>
  </si>
  <si>
    <t>TEST STATISTICS</t>
  </si>
  <si>
    <t>TEST REPORT DOCUMENT</t>
  </si>
  <si>
    <t>Authentication</t>
  </si>
  <si>
    <t>UC-01 Register / Login. Registration, sign-in, account recovery, change of email, Google sign-in and the access token of every role.</t>
  </si>
  <si>
    <t>Sign in</t>
  </si>
  <si>
    <t/>
  </si>
  <si>
    <t>AUTH-LOGIN-01</t>
  </si>
  <si>
    <t>[Normal] Sign in with a correct email and password</t>
  </si>
  <si>
    <t>Send POST /api/Auth/login with the correct email and password of the Customer account</t>
  </si>
  <si>
    <t>Returns 200 with an access token, a refresh token and the user profile</t>
  </si>
  <si>
    <t>A Customer account exists and is active</t>
  </si>
  <si>
    <t>17/08/2026</t>
  </si>
  <si>
    <t>Vu Manh Dung</t>
  </si>
  <si>
    <t>Automated</t>
  </si>
  <si>
    <t>AUTH-LOGIN-02</t>
  </si>
  <si>
    <t>[Abnormal] Sign in with a wrong password</t>
  </si>
  <si>
    <t>Send POST /api/Auth/login with the correct email but a wrong password</t>
  </si>
  <si>
    <t>Returns 401 with a generic message that does not reveal whether the email or the password was wrong</t>
  </si>
  <si>
    <t>A Customer account exists</t>
  </si>
  <si>
    <t>AUTH-LOGIN-03</t>
  </si>
  <si>
    <t>[Abnormal] Sign in with an email that is not registered</t>
  </si>
  <si>
    <t>Send POST /api/Auth/login with an email that was never registered</t>
  </si>
  <si>
    <t>Returns 401 with exactly the same message as the wrong-password case, so registered emails cannot be enumerated</t>
  </si>
  <si>
    <t>The email does not exist in the system</t>
  </si>
  <si>
    <t>AUTH-LOGIN-04</t>
  </si>
  <si>
    <t>[Boundary] Sign in with an empty password</t>
  </si>
  <si>
    <t>Send POST /api/Auth/login with an empty password string</t>
  </si>
  <si>
    <t>Returns 401 without raising a server error</t>
  </si>
  <si>
    <t>AUTH-LOGIN-05</t>
  </si>
  <si>
    <t>[Normal] Sign in with the email in a different letter case</t>
  </si>
  <si>
    <t>Send POST /api/Auth/login with the email written entirely in uppercase</t>
  </si>
  <si>
    <t>Returns 200 because the email is normalised to lowercase before lookup</t>
  </si>
  <si>
    <t>A Customer account exists with a lowercase email</t>
  </si>
  <si>
    <t>Current user</t>
  </si>
  <si>
    <t>AUTH-ME-01</t>
  </si>
  <si>
    <t>[Abnormal] Call the current-user endpoint without signing in</t>
  </si>
  <si>
    <t>Send GET /api/Auth/me without a bearer token</t>
  </si>
  <si>
    <t>Returns 401</t>
  </si>
  <si>
    <t>No Authorization header is attached</t>
  </si>
  <si>
    <t>AUTH-ME-02</t>
  </si>
  <si>
    <t>[Normal] Call the current-user endpoint with a valid token</t>
  </si>
  <si>
    <t>Send GET /api/Auth/me with the Customer bearer token</t>
  </si>
  <si>
    <t>Returns 200 with the profile of the signed-in account</t>
  </si>
  <si>
    <t>Signed in as the Customer account</t>
  </si>
  <si>
    <t>Google sign-in</t>
  </si>
  <si>
    <t>AUTH-GOOGLE-01</t>
  </si>
  <si>
    <t>[Normal] First Google sign in creates a new account</t>
  </si>
  <si>
    <t>Send POST /api/Auth/google with a valid Google credential for an email that has no account</t>
  </si>
  <si>
    <t>Returns 200 with an access token; the account is created with no password</t>
  </si>
  <si>
    <t>The email has never been registered</t>
  </si>
  <si>
    <t>AUTH-GOOGLE-02</t>
  </si>
  <si>
    <t>[Abnormal] A Google only account cannot sign in with a password</t>
  </si>
  <si>
    <t>Create an account through Google sign in, then call POST /api/Auth/login with that email</t>
  </si>
  <si>
    <t>Returns 401 because the account has no password yet</t>
  </si>
  <si>
    <t>The account was created through Google sign in</t>
  </si>
  <si>
    <t>AUTH-GOOGLE-03</t>
  </si>
  <si>
    <t>[Abnormal] An invalid Google ID token is rejected</t>
  </si>
  <si>
    <t>Send POST /api/Auth/google with a made up credential</t>
  </si>
  <si>
    <t>Returns 401 and no account is created</t>
  </si>
  <si>
    <t>None</t>
  </si>
  <si>
    <t>Role tokens</t>
  </si>
  <si>
    <t>AUTH-TOKEN-01</t>
  </si>
  <si>
    <t>[Normal] The Customer token reaches the current user endpoint</t>
  </si>
  <si>
    <t>Sign in as Customer, then call GET /api/Auth/me with that token</t>
  </si>
  <si>
    <t>Returns 200 with the profile of the Customer account</t>
  </si>
  <si>
    <t>AUTH-TOKEN-02</t>
  </si>
  <si>
    <t>[Normal] The Staff token reaches the current user endpoint</t>
  </si>
  <si>
    <t>Sign in as Staff, then call GET /api/Auth/me with that token</t>
  </si>
  <si>
    <t>Returns 200 with the profile of the Staff account</t>
  </si>
  <si>
    <t>A Staff account exists and is active</t>
  </si>
  <si>
    <t>AUTH-TOKEN-03</t>
  </si>
  <si>
    <t>[Normal] The Manager token reaches the current user endpoint</t>
  </si>
  <si>
    <t>Sign in as Manager, then call GET /api/Auth/me with that token</t>
  </si>
  <si>
    <t>Returns 200 with the profile of the Manager account</t>
  </si>
  <si>
    <t>A Manager account exists and is active</t>
  </si>
  <si>
    <t>AUTH-TOKEN-04</t>
  </si>
  <si>
    <t>[Normal] The Admin token reaches the current user endpoint</t>
  </si>
  <si>
    <t>Sign in as Admin, then call GET /api/Auth/me with that token</t>
  </si>
  <si>
    <t>Returns 200 with the profile of the Admin account</t>
  </si>
  <si>
    <t>A Admin account exists and is active</t>
  </si>
  <si>
    <t>AUTH-TOKEN-05</t>
  </si>
  <si>
    <t>[Normal] The Garden Owner token reaches the current user endpoint</t>
  </si>
  <si>
    <t>Sign in as Garden Owner, then call GET /api/Auth/me with that token</t>
  </si>
  <si>
    <t>Returns 200 with the profile of the Garden Owner account</t>
  </si>
  <si>
    <t>A Garden Owner account exists and is active</t>
  </si>
  <si>
    <t>AUTH-TOKEN-06</t>
  </si>
  <si>
    <t>[Abnormal] The current user endpoint refuses a request without a token</t>
  </si>
  <si>
    <t>Send GET /api/Auth/me with no Authorization header</t>
  </si>
  <si>
    <t>Registration</t>
  </si>
  <si>
    <t>AUTH-REG-01</t>
  </si>
  <si>
    <t>[Normal] Complete the three-step registration with a new email</t>
  </si>
  <si>
    <t>Send POST /api/Auth/register/initiate with an unused email, read the OTP, send POST /api/Auth/register/verify, then POST /api/Auth/register/finalize with the registration token and a password</t>
  </si>
  <si>
    <t>Returns 201 with an access token, and the new account signs in immediately with that password</t>
  </si>
  <si>
    <t>AUTH-REG-02</t>
  </si>
  <si>
    <t>[Abnormal] Register with an email that already has an account</t>
  </si>
  <si>
    <t>Send POST /api/Auth/register/initiate with the email of an existing Customer account</t>
  </si>
  <si>
    <t>Returns 409 and no OTP is issued</t>
  </si>
  <si>
    <t>A Customer account exists with that email</t>
  </si>
  <si>
    <t>AUTH-REG-03</t>
  </si>
  <si>
    <t>[Abnormal] The registration token can only be used once</t>
  </si>
  <si>
    <t>Complete the first two registration steps, then send POST /api/Auth/register/finalize twice with the same registration token</t>
  </si>
  <si>
    <t>The first call returns 201, the second returns 401</t>
  </si>
  <si>
    <t>AUTH-REG-04</t>
  </si>
  <si>
    <t>[Abnormal] Too many wrong OTP attempts lock the code</t>
  </si>
  <si>
    <t>Request a registration OTP, then send POST /api/Auth/register/verify six times with a wrong OTP</t>
  </si>
  <si>
    <t>Returns 400 with a message stating the code was tried too many times</t>
  </si>
  <si>
    <t>A registration OTP has just been issued</t>
  </si>
  <si>
    <t>Forgot password</t>
  </si>
  <si>
    <t>AUTH-FP-01</t>
  </si>
  <si>
    <t>[Normal] Send a password-reset OTP to a registered email</t>
  </si>
  <si>
    <t>Send POST /api/Auth/forgot-password/initiate with the email of the Customer account</t>
  </si>
  <si>
    <t>Returns 200 and an OTP is sent to that mailbox</t>
  </si>
  <si>
    <t>AUTH-FP-02</t>
  </si>
  <si>
    <t>[Abnormal] Send a password-reset OTP to an unregistered email</t>
  </si>
  <si>
    <t>Send POST /api/Auth/forgot-password/initiate with an email that was never registered</t>
  </si>
  <si>
    <t>Returns 404, a deliberate decision that favours a clear user experience over resisting email enumeration</t>
  </si>
  <si>
    <t>AUTH-FP-03</t>
  </si>
  <si>
    <t>[Abnormal] Request an OTP with a malformed email</t>
  </si>
  <si>
    <t>Send POST /api/Auth/forgot-password/initiate with a string that is not an email</t>
  </si>
  <si>
    <t>Returns 400 with an invalid-email message</t>
  </si>
  <si>
    <t>AUTH-FP-04</t>
  </si>
  <si>
    <t>[Boundary] Request an OTP with an empty email</t>
  </si>
  <si>
    <t>Send POST /api/Auth/forgot-password/initiate with an empty email string</t>
  </si>
  <si>
    <t>Returns 400 without raising a server error</t>
  </si>
  <si>
    <t>AUTH-FP-05</t>
  </si>
  <si>
    <t>[Abnormal] Verify a wrong OTP</t>
  </si>
  <si>
    <t>Send POST /api/Auth/forgot-password/verify with an incorrect OTP</t>
  </si>
  <si>
    <t>Returns 400 and issues no resetPasswordToken</t>
  </si>
  <si>
    <t>AUTH-FP-06</t>
  </si>
  <si>
    <t>[Abnormal] Reset the password with an invalid token</t>
  </si>
  <si>
    <t>Send POST /api/Auth/forgot-password/reset with a made-up resetPasswordToken</t>
  </si>
  <si>
    <t>Returns 401 with an invalid-session message</t>
  </si>
  <si>
    <t>No password-reset session is open</t>
  </si>
  <si>
    <t>AUTH-FP-07</t>
  </si>
  <si>
    <t>[Boundary] Reset the password with a 5-character password, one below the minimum of 6</t>
  </si>
  <si>
    <t>Send POST /api/Auth/forgot-password/reset with a 5-character newPassword</t>
  </si>
  <si>
    <t>Returns 400 stating the 6-character minimum; the check runs before the token is consumed</t>
  </si>
  <si>
    <t>AUTH-FP-08</t>
  </si>
  <si>
    <t>[Boundary] Reset the password with an empty password</t>
  </si>
  <si>
    <t>Send POST /api/Auth/forgot-password/reset with an empty newPassword</t>
  </si>
  <si>
    <t>Returns 400 stating the password must not be empty</t>
  </si>
  <si>
    <t>AUTH-FP-09</t>
  </si>
  <si>
    <t>[Normal] The full forgot-password flow revokes every existing session</t>
  </si>
  <si>
    <t>Register an account and sign in to obtain a refresh token, then run the three forgot-password steps and set a new password</t>
  </si>
  <si>
    <t>Returns 200; the old password no longer signs in, the new one does, and the refresh token issued before the change is refused with 401</t>
  </si>
  <si>
    <t>An account exists and has an active session</t>
  </si>
  <si>
    <t>AUTH-FP-10</t>
  </si>
  <si>
    <t>[Abnormal] The reset-password token can only be used once</t>
  </si>
  <si>
    <t>Run the forgot-password steps to obtain a resetPasswordToken, then call POST /api/Auth/forgot-password/reset twice with it</t>
  </si>
  <si>
    <t>The first call returns 200, the second returns 401</t>
  </si>
  <si>
    <t>An account exists</t>
  </si>
  <si>
    <t>AUTH-FP-11</t>
  </si>
  <si>
    <t>[Abnormal] A new password identical to the current one is rejected</t>
  </si>
  <si>
    <t>Run the forgot-password steps, then reset the password to the value the account already uses</t>
  </si>
  <si>
    <t>Returns 400 with a message stating the new password repeats the current one</t>
  </si>
  <si>
    <t>Change email</t>
  </si>
  <si>
    <t>AUTH-EMAIL-01</t>
  </si>
  <si>
    <t>[Normal] Complete the four-step email change</t>
  </si>
  <si>
    <t>Signed in, call POST /api/Auth/me/email/initiate, verify the OTP sent to the current address, request the new address, then confirm the OTP sent to it</t>
  </si>
  <si>
    <t>Returns 200 at every step; the account then signs in with the new email and no longer with the old one</t>
  </si>
  <si>
    <t>Signed in as an account whose current email can be read</t>
  </si>
  <si>
    <t>AUTH-EMAIL-02</t>
  </si>
  <si>
    <t>[Abnormal] Skipping the current-email verification is blocked</t>
  </si>
  <si>
    <t>Signed in, call POST /api/Auth/me/email/request-new with an invented changeEmailToken</t>
  </si>
  <si>
    <t>Returns 401 and the email is not changed</t>
  </si>
  <si>
    <t>Signed in as a Customer</t>
  </si>
  <si>
    <t>Cart and Checkout</t>
  </si>
  <si>
    <t>UC-09, UC-10. Shopping cart, checkout and the splitting of one cart into one sub order per garden (BR-04, BR-05).</t>
  </si>
  <si>
    <t>Cart</t>
  </si>
  <si>
    <t>SALES-CART-01</t>
  </si>
  <si>
    <t>[Normal] Add a product to the cart and read the cart back</t>
  </si>
  <si>
    <t>Add two units of a product variant, then read GET /api/cart</t>
  </si>
  <si>
    <t>The cart holds one line with quantity two and the subtotal equals price times two</t>
  </si>
  <si>
    <t>A store with a product variant in stock exists</t>
  </si>
  <si>
    <t>SALES-CART-02</t>
  </si>
  <si>
    <t>[Abnormal] Adding to the cart with quantity zero is rejected</t>
  </si>
  <si>
    <t>Send POST /api/cart/items with quantity zero</t>
  </si>
  <si>
    <t>Returns 400 and nothing is added</t>
  </si>
  <si>
    <t>A store with a product variant exists</t>
  </si>
  <si>
    <t>SALES-CART-03</t>
  </si>
  <si>
    <t>[Abnormal] Adding more units than the available stock is rejected</t>
  </si>
  <si>
    <t>Send POST /api/cart/items with a quantity above the stock of the variant</t>
  </si>
  <si>
    <t>Returns 400 with a message about the remaining stock</t>
  </si>
  <si>
    <t>The variant has a known stock level</t>
  </si>
  <si>
    <t>SALES-CART-04</t>
  </si>
  <si>
    <t>[Abnormal] Adding an unknown product variant returns not found</t>
  </si>
  <si>
    <t>Send POST /api/cart/items with an identifier that does not exist</t>
  </si>
  <si>
    <t>Returns 404</t>
  </si>
  <si>
    <t>Checkout</t>
  </si>
  <si>
    <t>SALES-ORDER-01</t>
  </si>
  <si>
    <t>[Normal] A cart spanning two stores splits into two deliveries</t>
  </si>
  <si>
    <t>Add one product of store A and one of store B, then check out with cash on delivery</t>
  </si>
  <si>
    <t>The order is created with two deliveries, one per store, each with its own subtotal</t>
  </si>
  <si>
    <t>Two stores each with a product variant in stock, and a default shipping address</t>
  </si>
  <si>
    <t>SALES-ORDER-02</t>
  </si>
  <si>
    <t>[Normal] A cart from a single store creates one delivery</t>
  </si>
  <si>
    <t>Add one product of a single store, then check out</t>
  </si>
  <si>
    <t>The order is created with exactly one delivery</t>
  </si>
  <si>
    <t>One store with a product variant in stock</t>
  </si>
  <si>
    <t>SALES-ORDER-03</t>
  </si>
  <si>
    <t>[Abnormal] Checking out an empty cart is rejected</t>
  </si>
  <si>
    <t>Empty the cart, then send POST /api/orders</t>
  </si>
  <si>
    <t>Returns 400 and no order is created</t>
  </si>
  <si>
    <t>The cart is empty</t>
  </si>
  <si>
    <t>SALES-ORDER-04</t>
  </si>
  <si>
    <t>[Abnormal] Checkout with an unknown shipping address is rejected</t>
  </si>
  <si>
    <t>Add a product, then check out with a shipping address identifier that does not exist</t>
  </si>
  <si>
    <t>The cart holds at least one line</t>
  </si>
  <si>
    <t>SALES-ORDER-05</t>
  </si>
  <si>
    <t>[Normal] Ordered items are removed from the cart after checkout</t>
  </si>
  <si>
    <t>Add a product, check out, then read GET /api/cart</t>
  </si>
  <si>
    <t>The cart holds exactly the products being ordered</t>
  </si>
  <si>
    <t>SALES-ORDER-06</t>
  </si>
  <si>
    <t>[Normal] A placed order appears in the customer order history</t>
  </si>
  <si>
    <t>Place an order, then read GET /api/orders and GET /api/orders/{id}</t>
  </si>
  <si>
    <t>The order appears in the list and its detail can be opened</t>
  </si>
  <si>
    <t>The customer has placed at least one order</t>
  </si>
  <si>
    <t>SALES-ORDER-07</t>
  </si>
  <si>
    <t>[Abnormal] An order is not visible to another customer</t>
  </si>
  <si>
    <t>Place an order as customer A, register customer B, then read the order as customer B</t>
  </si>
  <si>
    <t>Returns 404 for customer B</t>
  </si>
  <si>
    <t>Two separate customer accounts exist</t>
  </si>
  <si>
    <t>Payment and Cancellation</t>
  </si>
  <si>
    <t>UC-11. Payment link creation for online orders and order cancellation. Real settlement is out of scope (section 1.2).</t>
  </si>
  <si>
    <t>Payment</t>
  </si>
  <si>
    <t>SALES-PAY-01</t>
  </si>
  <si>
    <t>[Normal] Create a payment link for an online order</t>
  </si>
  <si>
    <t>Place an order with the online payment method, then send POST /api/payments/{orderId}</t>
  </si>
  <si>
    <t>Returns a checkout link for the order</t>
  </si>
  <si>
    <t>An order awaiting online payment exists</t>
  </si>
  <si>
    <t>SALES-PAY-02</t>
  </si>
  <si>
    <t>[Abnormal] A cash on delivery order cannot create an online payment link</t>
  </si>
  <si>
    <t>Place a cash on delivery order, then send POST /api/payments/{orderId}</t>
  </si>
  <si>
    <t>Returns 400 with a message that a cash order is paid on delivery</t>
  </si>
  <si>
    <t>A cash on delivery order exists</t>
  </si>
  <si>
    <t>SALES-PAY-03</t>
  </si>
  <si>
    <t>[Abnormal] Creating a payment link for an unknown order returns not found</t>
  </si>
  <si>
    <t>Send POST /api/payments/{orderId} with an identifier that does not exist</t>
  </si>
  <si>
    <t>SALES-PAY-04</t>
  </si>
  <si>
    <t>[Abnormal] The payment webhook survives a malformed payload</t>
  </si>
  <si>
    <t>Send POST /api/payments/payos/webhook with a body that does not match the expected shape</t>
  </si>
  <si>
    <t>Answers with a client error, never with a server error</t>
  </si>
  <si>
    <t>Cancellation</t>
  </si>
  <si>
    <t>SALES-CANCEL-01</t>
  </si>
  <si>
    <t>[Normal] Cancel an order while it is still pending</t>
  </si>
  <si>
    <t>Place an order, then send POST /api/orders/{id}/cancel</t>
  </si>
  <si>
    <t>The order moves to the cancelled state</t>
  </si>
  <si>
    <t>An order in the pending state exists</t>
  </si>
  <si>
    <t>SALES-CANCEL-02</t>
  </si>
  <si>
    <t>[Abnormal] Cancelling the same order twice is rejected</t>
  </si>
  <si>
    <t>Cancel an order, then cancel it again</t>
  </si>
  <si>
    <t>The second call is refused</t>
  </si>
  <si>
    <t>An order that has already been cancelled</t>
  </si>
  <si>
    <t>Delivery</t>
  </si>
  <si>
    <t>UC-20, UC-23. Visibility of deliveries for the garden that must fulfil them.</t>
  </si>
  <si>
    <t>SALES-DELIVERY-01</t>
  </si>
  <si>
    <t>[Normal] A store owner can list the deliveries of their own store</t>
  </si>
  <si>
    <t>Place an order against the store, then read GET /api/orders/stores/{storeId}/deliveries as the owner</t>
  </si>
  <si>
    <t>Returns 200 with the deliveries of that store</t>
  </si>
  <si>
    <t>The store has at least one delivery</t>
  </si>
  <si>
    <t>SALES-DELIVERY-02</t>
  </si>
  <si>
    <t>[Abnormal] A customer cannot list the deliveries of a store</t>
  </si>
  <si>
    <t>Read GET /api/orders/stores/{storeId}/deliveries with a customer token</t>
  </si>
  <si>
    <t>Returns 403 or 401</t>
  </si>
  <si>
    <t>A store exists</t>
  </si>
  <si>
    <t>Returns Refunds and Exchanges</t>
  </si>
  <si>
    <t>UC-15, UC-28, UC-29, UC-30. Return request, staff decision and refund. Photo evidence is mandatory (BR-08) and dead plants are never recalled (BR-09).</t>
  </si>
  <si>
    <t>RMA-01</t>
  </si>
  <si>
    <t>[Normal] A customer opens a return request on a delivered order</t>
  </si>
  <si>
    <t>Drive an order to the delivered state, then send POST /api/returns with evidence images</t>
  </si>
  <si>
    <t>The request is created in the Requested state</t>
  </si>
  <si>
    <t>An order whose delivery reached the delivered state</t>
  </si>
  <si>
    <t>RMA-02</t>
  </si>
  <si>
    <t>[Abnormal] A return request without evidence images is rejected</t>
  </si>
  <si>
    <t>Send POST /api/returns with an empty list of image URLs</t>
  </si>
  <si>
    <t>Returns 400 with a message that evidence is required</t>
  </si>
  <si>
    <t>RMA-03</t>
  </si>
  <si>
    <t>[Abnormal] A return request on a delivery that was never delivered is rejected</t>
  </si>
  <si>
    <t>Place an order and, without advancing the delivery, send POST /api/returns</t>
  </si>
  <si>
    <t>Returns 400</t>
  </si>
  <si>
    <t>An order whose delivery is still pending</t>
  </si>
  <si>
    <t>RMA-04</t>
  </si>
  <si>
    <t>[Abnormal] Returning more units than were delivered is rejected</t>
  </si>
  <si>
    <t>Send POST /api/returns with a quantity above the delivered quantity</t>
  </si>
  <si>
    <t>A delivered order of a known quantity</t>
  </si>
  <si>
    <t>RMA-05</t>
  </si>
  <si>
    <t>[Boundary] Returning zero units is rejected</t>
  </si>
  <si>
    <t>Send POST /api/returns with quantity zero</t>
  </si>
  <si>
    <t>A delivered order</t>
  </si>
  <si>
    <t>RMA-06</t>
  </si>
  <si>
    <t>[Normal] A customer cancels their own request while it is still pending</t>
  </si>
  <si>
    <t>Open a request, then send POST /api/returns/{id}/cancel</t>
  </si>
  <si>
    <t>The request moves to the cancelled state</t>
  </si>
  <si>
    <t>A request in the Requested state</t>
  </si>
  <si>
    <t>RMA-07</t>
  </si>
  <si>
    <t>[Abnormal] Cancelling the same request twice is rejected</t>
  </si>
  <si>
    <t>Cancel a request, then cancel it again</t>
  </si>
  <si>
    <t>The second call is refused with 400 or 409</t>
  </si>
  <si>
    <t>A request that has already been cancelled</t>
  </si>
  <si>
    <t>RMA-08</t>
  </si>
  <si>
    <t>[Normal] Platform staff accepts the request for review</t>
  </si>
  <si>
    <t>Send POST /api/returns/{id}/accept with a staff token</t>
  </si>
  <si>
    <t>The request leaves the Requested state</t>
  </si>
  <si>
    <t>RMA-09</t>
  </si>
  <si>
    <t>[Normal] Platform staff rejects the request with a reason</t>
  </si>
  <si>
    <t>Accept the request, then send POST /api/returns/{id}/reject with a reason</t>
  </si>
  <si>
    <t>The request moves to the rejected state</t>
  </si>
  <si>
    <t>A request that staff has accepted</t>
  </si>
  <si>
    <t>RMA-10</t>
  </si>
  <si>
    <t>[Abnormal] Rejecting without a reason is refused</t>
  </si>
  <si>
    <t>Send POST /api/returns/{id}/reject with an empty reason</t>
  </si>
  <si>
    <t>RMA-11</t>
  </si>
  <si>
    <t>[Normal] A dead plant refund reaches the refunding stage without recalling the goods</t>
  </si>
  <si>
    <t>Accept a PlantHealth request, then send POST /api/returns/{id}/approve-refund</t>
  </si>
  <si>
    <t>The request reaches Refunding or Completed and never passes through the physical return states</t>
  </si>
  <si>
    <t>A PlantHealth request that staff has accepted</t>
  </si>
  <si>
    <t>RMA-12</t>
  </si>
  <si>
    <t>[Abnormal] A customer cannot accept their own return request</t>
  </si>
  <si>
    <t>Send POST /api/returns/{id}/accept with the customer token</t>
  </si>
  <si>
    <t>Returns 403</t>
  </si>
  <si>
    <t>A request opened by that customer</t>
  </si>
  <si>
    <t>RMA-13</t>
  </si>
  <si>
    <t>[Abnormal] A store owner cannot decide the outcome of a return request</t>
  </si>
  <si>
    <t>Send POST /api/returns/{id}/approve-refund with the garden owner token</t>
  </si>
  <si>
    <t>A request against that store</t>
  </si>
  <si>
    <t>RMA-14</t>
  </si>
  <si>
    <t>[Normal] The customer can see their own request in the list</t>
  </si>
  <si>
    <t>Read GET /api/returns/mine</t>
  </si>
  <si>
    <t>The request appears in the list</t>
  </si>
  <si>
    <t>RMA-15</t>
  </si>
  <si>
    <t>[Normal] Platform staff can list the pending return requests</t>
  </si>
  <si>
    <t>Read GET /api/returns/pending with a staff token</t>
  </si>
  <si>
    <t>Returns 200 with the queue of pending requests</t>
  </si>
  <si>
    <t>At least one request is waiting</t>
  </si>
  <si>
    <t>API Authorization and Robustness</t>
  </si>
  <si>
    <t>Cross cutting. Generated from the routing table, so all 242 endpoints are covered and any endpoint added later is covered automatically.</t>
  </si>
  <si>
    <t>Authorization matrix</t>
  </si>
  <si>
    <t>API-AUTHZ-01</t>
  </si>
  <si>
    <t>[Normal] The routing table is discovered and is not empty</t>
  </si>
  <si>
    <t>Read the action descriptors of the running application</t>
  </si>
  <si>
    <t>242 endpoints are discovered</t>
  </si>
  <si>
    <t>The application is running</t>
  </si>
  <si>
    <t>API-AUTHZ-02</t>
  </si>
  <si>
    <t>[Normal] Every protected endpoint refuses a request without a token, normal data</t>
  </si>
  <si>
    <t>Call all 210 protected endpoints with no Authorization header, using well formed route values</t>
  </si>
  <si>
    <t>Every one answers 401</t>
  </si>
  <si>
    <t>API-AUTHZ-03</t>
  </si>
  <si>
    <t>[Boundary] Every protected endpoint refuses a request without a token, boundary data</t>
  </si>
  <si>
    <t>Repeat the sweep with boundary route values such as an all zero identifier</t>
  </si>
  <si>
    <t>Every one still answers 401, so authorization does not depend on the payload</t>
  </si>
  <si>
    <t>API-AUTHZ-04</t>
  </si>
  <si>
    <t>[Normal] Every policy protected endpoint refuses a disallowed role, normal data</t>
  </si>
  <si>
    <t>Call all 66 policy protected endpoints with a role the policy does not allow</t>
  </si>
  <si>
    <t>Every one answers 403</t>
  </si>
  <si>
    <t>A token exists for each of the five roles</t>
  </si>
  <si>
    <t>API-AUTHZ-05</t>
  </si>
  <si>
    <t>[Boundary] Every policy protected endpoint refuses a disallowed role, boundary data</t>
  </si>
  <si>
    <t>Repeat the sweep with boundary route values</t>
  </si>
  <si>
    <t>Every one still answers 403</t>
  </si>
  <si>
    <t>API-AUTHZ-06</t>
  </si>
  <si>
    <t>[Normal] No public endpoint is refused, normal data</t>
  </si>
  <si>
    <t>Call all 26 public endpoints with no token</t>
  </si>
  <si>
    <t>None answers 401 or 403</t>
  </si>
  <si>
    <t>API-AUTHZ-07</t>
  </si>
  <si>
    <t>[Boundary] No public endpoint is refused, boundary data</t>
  </si>
  <si>
    <t>Smoke test</t>
  </si>
  <si>
    <t>API-SMOKE-01</t>
  </si>
  <si>
    <t>[Normal] No parameterless read endpoint answers with a server error</t>
  </si>
  <si>
    <t>Call all 47 GET endpoints that take no route parameter with an administrator token</t>
  </si>
  <si>
    <t>None answers with a 5xx status</t>
  </si>
  <si>
    <t>The database has been migrated and seeded</t>
  </si>
  <si>
    <t>API-SMOKE-02</t>
  </si>
  <si>
    <t>[Normal] The API documentation is generated</t>
  </si>
  <si>
    <t>Read the OpenAPI document of the application</t>
  </si>
  <si>
    <t>The document is produced, so no route is duplicated</t>
  </si>
  <si>
    <t>Robustness</t>
  </si>
  <si>
    <t>API-ROBUST-01</t>
  </si>
  <si>
    <t>[Normal] Normal data never causes a server error</t>
  </si>
  <si>
    <t>Call all 242 endpoints with well formed data</t>
  </si>
  <si>
    <t>No endpoint answers with a 5xx status</t>
  </si>
  <si>
    <t>API-ROBUST-02</t>
  </si>
  <si>
    <t>[Boundary] Boundary data never causes a server error</t>
  </si>
  <si>
    <t>Call all 242 endpoints with boundary values such as an all zero identifier and empty fields</t>
  </si>
  <si>
    <t>API-ROBUST-03</t>
  </si>
  <si>
    <t>[Abnormal] Malformed data never causes a server error</t>
  </si>
  <si>
    <t>Call all 242 endpoints with invalid identifiers, invalid JSON, negative quantities and SQL syntax</t>
  </si>
  <si>
    <t>Every endpoint answers with a client error, none with a 5xx status</t>
  </si>
  <si>
    <t>Environment guard</t>
  </si>
  <si>
    <t>ENV-GUARD-01</t>
  </si>
  <si>
    <t>[Normal] A connection string pointing at localhost is accepted</t>
  </si>
  <si>
    <t>Start the suite with Host=localhost</t>
  </si>
  <si>
    <t>The suite runs</t>
  </si>
  <si>
    <t>ENV-GUARD-02</t>
  </si>
  <si>
    <t>[Normal] A connection string pointing at 127.0.0.1 is accepted</t>
  </si>
  <si>
    <t>Start the suite with Host=127.0.0.1</t>
  </si>
  <si>
    <t>ENV-GUARD-03</t>
  </si>
  <si>
    <t>[Normal] A connection string using the container host name is accepted</t>
  </si>
  <si>
    <t>Start the suite with Server=postgres, as used on the CI runner</t>
  </si>
  <si>
    <t>ENV-GUARD-04</t>
  </si>
  <si>
    <t>[Abnormal] A production database connection is refused</t>
  </si>
  <si>
    <t>Start the suite with a connection string pointing at the Supabase production host</t>
  </si>
  <si>
    <t>The suite stops before touching the database</t>
  </si>
  <si>
    <t>ENV-GUARD-05</t>
  </si>
  <si>
    <t>[Abnormal] Any other remote host is refused</t>
  </si>
  <si>
    <t>Start the suite with a connection string pointing at an arbitrary remote host</t>
  </si>
  <si>
    <t>ENV-GUARD-06</t>
  </si>
  <si>
    <t>[Abnormal] A missing connection string stops the suite with guidance</t>
  </si>
  <si>
    <t>Start the suite with the setting absent</t>
  </si>
  <si>
    <t>The suite stops and prints the two supported ways to configure it</t>
  </si>
  <si>
    <t>ENV-GUARD-07</t>
  </si>
  <si>
    <t>[Boundary] An empty connection string is refused</t>
  </si>
  <si>
    <t>Start the suite with an empty setting</t>
  </si>
  <si>
    <t>The suite stops with the same guidance</t>
  </si>
  <si>
    <t>ENV-GUARD-08</t>
  </si>
  <si>
    <t>[Boundary] A whitespace only connection string is refused</t>
  </si>
  <si>
    <t>Start the suite with a setting containing only spaces</t>
  </si>
  <si>
    <t>ENV-GUARD-09</t>
  </si>
  <si>
    <t>[Abnormal] A connection string with no host segment is refused</t>
  </si>
  <si>
    <t>Start the suite with a connection string that declares no host</t>
  </si>
  <si>
    <t>Catalog</t>
  </si>
  <si>
    <t>UC-04, UC-05, UC-06. Product lifecycle, variants, images, categories, tags and the feng-shui attributes of a product.</t>
  </si>
  <si>
    <t>CAT-01</t>
  </si>
  <si>
    <t>[Normal] A store owner creates a product with one variant</t>
  </si>
  <si>
    <t>Send POST /api/products as a garden owner</t>
  </si>
  <si>
    <t>Returns 201 Created and name = Kim tiền để bàn</t>
  </si>
  <si>
    <t>A store owned by the garden-owner test user, seeded with a product</t>
  </si>
  <si>
    <t>26/08/2026</t>
  </si>
  <si>
    <t>CAT-02</t>
  </si>
  <si>
    <t>[Abnormal] Creating a product with a blank name is rejected</t>
  </si>
  <si>
    <t>Returns 400 Bad Request</t>
  </si>
  <si>
    <t>CAT-03</t>
  </si>
  <si>
    <t>[Abnormal] A customer cannot create a product for someone else's store</t>
  </si>
  <si>
    <t>Send POST /api/products as a customer</t>
  </si>
  <si>
    <t>Returns 403 Forbidden</t>
  </si>
  <si>
    <t>CAT-04</t>
  </si>
  <si>
    <t>[Abnormal] Creating a product with an unknown category is rejected</t>
  </si>
  <si>
    <t>CAT-05</t>
  </si>
  <si>
    <t>[Normal] A newly created product is readable anonymously</t>
  </si>
  <si>
    <t>Send GET /api/products/{id} as an anonymous caller</t>
  </si>
  <si>
    <t>Returns 200 OK and id matches productId</t>
  </si>
  <si>
    <t>A product owned by the caller</t>
  </si>
  <si>
    <t>CAT-06</t>
  </si>
  <si>
    <t>[Abnormal] Reading an unknown product returns 404</t>
  </si>
  <si>
    <t>Returns 404 Not Found</t>
  </si>
  <si>
    <t>CAT-07</t>
  </si>
  <si>
    <t>[Normal] The owner updates a product and the change is persisted</t>
  </si>
  <si>
    <t>Send PUT /api/products/{id} as an anonymous caller</t>
  </si>
  <si>
    <t>Returns 200 OK and name = Tên đã đổi</t>
  </si>
  <si>
    <t>CAT-08</t>
  </si>
  <si>
    <t>[Abnormal] A customer cannot update a product they do not own</t>
  </si>
  <si>
    <t>Send PUT /api/products/{id} as a customer</t>
  </si>
  <si>
    <t>CAT-09</t>
  </si>
  <si>
    <t>[Normal] Deleting a product removes it from the public detail endpoint</t>
  </si>
  <si>
    <t>Send DELETE /api/products/{id} as an anonymous caller</t>
  </si>
  <si>
    <t>Returns 200 OK</t>
  </si>
  <si>
    <t>CAT-10</t>
  </si>
  <si>
    <t>[Normal] The owner adds a variant to an existing product</t>
  </si>
  <si>
    <t>Send POST /api/products/{id}/items as a garden owner</t>
  </si>
  <si>
    <t>Returns 201 Created and price matches 500_000m</t>
  </si>
  <si>
    <t>CAT-11</t>
  </si>
  <si>
    <t>[Abnormal] A variant with a negative price is rejected</t>
  </si>
  <si>
    <t>CAT-12</t>
  </si>
  <si>
    <t>[Abnormal] Reusing an existing SKU on another variant is rejected</t>
  </si>
  <si>
    <t>Returns 201 Created</t>
  </si>
  <si>
    <t>CAT-13</t>
  </si>
  <si>
    <t>[Normal] Updating a variant changes its price and stock</t>
  </si>
  <si>
    <t>Send PUT /api/products/{id}/items/{id} as a garden owner</t>
  </si>
  <si>
    <t>Returns 200 OK and price matches 320_000m, stock matches 7</t>
  </si>
  <si>
    <t>CAT-14</t>
  </si>
  <si>
    <t>[Abnormal] Updating an unknown variant returns 404</t>
  </si>
  <si>
    <t>CAT-15</t>
  </si>
  <si>
    <t>[Normal] The owner attaches an image by URL</t>
  </si>
  <si>
    <t>Send POST /api/products/{id}/images/link as a garden owner</t>
  </si>
  <si>
    <t>Returns 201 Created and url = https://fake-storage.test/bucket/product/anh-1.jpg</t>
  </si>
  <si>
    <t>CAT-16</t>
  </si>
  <si>
    <t>[Abnormal] Attaching an image with a blank URL is rejected</t>
  </si>
  <si>
    <t>CAT-17</t>
  </si>
  <si>
    <t>[Normal] The owner deletes an image that has no 3D model</t>
  </si>
  <si>
    <t>Send DELETE /api/products/{id}/images/{id} as a garden owner</t>
  </si>
  <si>
    <t>CAT-18</t>
  </si>
  <si>
    <t>[Normal] Assigning categories to a product is reflected in its detail</t>
  </si>
  <si>
    <t>Send PUT /api/products/{id}/categories as a garden owner</t>
  </si>
  <si>
    <t>Returns 200 OK and the item is present in the returned collection</t>
  </si>
  <si>
    <t>CAT-19</t>
  </si>
  <si>
    <t>[Normal] Setting the feng-shui attributes drops a duplicated primary element</t>
  </si>
  <si>
    <t>Send PUT /api/products/{id}/feng-shui as a garden owner</t>
  </si>
  <si>
    <t>Returns 200 OK and primaryElement = Moc, the item is present in the returned collection</t>
  </si>
  <si>
    <t>CAT-20</t>
  </si>
  <si>
    <t>[Abnormal] Setting an unknown vibe code is rejected</t>
  </si>
  <si>
    <t>CAT-21</t>
  </si>
  <si>
    <t>[Normal] Overriding the element vector marks the product as overridden</t>
  </si>
  <si>
    <t>Send PUT /api/products/{id}/vector-override as a garden owner</t>
  </si>
  <si>
    <t>CAT-22</t>
  </si>
  <si>
    <t>[Boundary] An element vector that does not sum to 1.0 is rejected</t>
  </si>
  <si>
    <t>CAT-23</t>
  </si>
  <si>
    <t>[Normal] Clearing the override returns the product to the computed vector</t>
  </si>
  <si>
    <t>Send DELETE /api/products/{id}/vector-override as a garden owner</t>
  </si>
  <si>
    <t>CAT-24</t>
  </si>
  <si>
    <t>[Normal] A manager creates a category and it appears in the public list</t>
  </si>
  <si>
    <t>Send POST /api/categories as a manager</t>
  </si>
  <si>
    <t>Returns 201 Created and the item is present in the returned collection</t>
  </si>
  <si>
    <t>CAT-25</t>
  </si>
  <si>
    <t>[Abnormal] A customer cannot create a category</t>
  </si>
  <si>
    <t>Send POST /api/categories as a customer</t>
  </si>
  <si>
    <t>CAT-26</t>
  </si>
  <si>
    <t>[Abnormal] Platform staff cannot create a category — the policy is manager or above</t>
  </si>
  <si>
    <t>Send POST /api/categories as platform staff</t>
  </si>
  <si>
    <t>CAT-27</t>
  </si>
  <si>
    <t>[Abnormal] A category cannot be its own parent</t>
  </si>
  <si>
    <t>Send PUT /api/categories/{id} as a manager</t>
  </si>
  <si>
    <t>CAT-28</t>
  </si>
  <si>
    <t>[Abnormal] A category with an unknown parent is rejected</t>
  </si>
  <si>
    <t>CAT-29</t>
  </si>
  <si>
    <t>[Normal] A garden owner creates a tag</t>
  </si>
  <si>
    <t>Send POST /api/tags as a garden owner</t>
  </si>
  <si>
    <t>CAT-30</t>
  </si>
  <si>
    <t>[Abnormal] Creating a tag whose name already exists returns 409</t>
  </si>
  <si>
    <t>CAT-31</t>
  </si>
  <si>
    <t>[Abnormal] A plain customer cannot create a tag</t>
  </si>
  <si>
    <t>3D Model Queue</t>
  </si>
  <si>
    <t>UC-07. Owner requests a 3D model, platform staff generates, previews, accepts or rejects it.</t>
  </si>
  <si>
    <t>M3D-01</t>
  </si>
  <si>
    <t>[Normal] A store owner requests a 3D model and it lands in the staff queue</t>
  </si>
  <si>
    <t>See the test method for the exact call sequence</t>
  </si>
  <si>
    <t>Returns 202 Accepted and status = AwaitingStaff, requestType = Initial</t>
  </si>
  <si>
    <t>A product owned by the caller, carrying at least one image</t>
  </si>
  <si>
    <t>M3D-02</t>
  </si>
  <si>
    <t>[Abnormal] Requesting a 3D model for a product without images is rejected</t>
  </si>
  <si>
    <t>M3D-03</t>
  </si>
  <si>
    <t>[Abnormal] A second open request for the same image returns 409</t>
  </si>
  <si>
    <t>Returns 202 Accepted</t>
  </si>
  <si>
    <t>M3D-04</t>
  </si>
  <si>
    <t>[Abnormal] A customer cannot request a 3D model for another store's product</t>
  </si>
  <si>
    <t>Send POST /api/products/{id}/model-3d/requests as a customer</t>
  </si>
  <si>
    <t>M3D-05</t>
  </si>
  <si>
    <t>[Normal] The owner sees their own request in the product request list</t>
  </si>
  <si>
    <t>Send GET /api/products/{id}/model-3d/requests as a garden owner</t>
  </si>
  <si>
    <t>M3D-06</t>
  </si>
  <si>
    <t>[Normal] Platform staff sees the pending request in the queue</t>
  </si>
  <si>
    <t>Send GET /api/model3d-requests as platform staff</t>
  </si>
  <si>
    <t>M3D-07</t>
  </si>
  <si>
    <t>[Abnormal] A garden owner cannot open the platform-wide 3D queue</t>
  </si>
  <si>
    <t>Send GET /api/model3d-requests as a garden owner</t>
  </si>
  <si>
    <t>M3D-08</t>
  </si>
  <si>
    <t>[Normal] Staff generates the model and the request moves to InProgress</t>
  </si>
  <si>
    <t>Returns 202 Accepted and status = InProgress</t>
  </si>
  <si>
    <t>M3D-09</t>
  </si>
  <si>
    <t>[Normal] The preview of an in-progress request reports the provider state</t>
  </si>
  <si>
    <t>Send GET /api/model3d-requests/{id}/preview as platform staff</t>
  </si>
  <si>
    <t>Returns 200 OK and state = Succeeded</t>
  </si>
  <si>
    <t>M3D-10</t>
  </si>
  <si>
    <t>[Abnormal] Previewing a request that was never generated returns 409</t>
  </si>
  <si>
    <t>Returns 409 Conflict</t>
  </si>
  <si>
    <t>M3D-11</t>
  </si>
  <si>
    <t>[Normal] Accepting an in-progress request publishes the model on the product</t>
  </si>
  <si>
    <t>Send POST /api/model3d-requests/{id}/accept as an anonymous caller</t>
  </si>
  <si>
    <t>Returns 200 OK and status = Succeeded, the item is present in the returned collection</t>
  </si>
  <si>
    <t>M3D-12</t>
  </si>
  <si>
    <t>[Abnormal] Accepting a request that has not been generated returns 409</t>
  </si>
  <si>
    <t>Send POST /api/model3d-requests/{id}/accept as platform staff</t>
  </si>
  <si>
    <t>M3D-13</t>
  </si>
  <si>
    <t>[Abnormal] Accepting the same request twice returns 409</t>
  </si>
  <si>
    <t>M3D-14</t>
  </si>
  <si>
    <t>[Normal] Retrying an in-progress request issues a new provider task</t>
  </si>
  <si>
    <t>Send POST /api/model3d-requests/{id}/retry as platform staff</t>
  </si>
  <si>
    <t>M3D-15</t>
  </si>
  <si>
    <t>[Abnormal] Retrying a request still awaiting staff returns 409</t>
  </si>
  <si>
    <t>M3D-16</t>
  </si>
  <si>
    <t>[Normal] Staff rejects a pending request with a reason</t>
  </si>
  <si>
    <t>Send POST /api/model3d-requests/{id}/reject as platform staff</t>
  </si>
  <si>
    <t>M3D-17</t>
  </si>
  <si>
    <t>M3D-18</t>
  </si>
  <si>
    <t>[Abnormal] A rejected request can no longer be generated</t>
  </si>
  <si>
    <t>M3D-19</t>
  </si>
  <si>
    <t>[Abnormal] Acting on an unknown request returns 404</t>
  </si>
  <si>
    <t>M3D-20</t>
  </si>
  <si>
    <t>[Normal] The owner hides an accepted model with the visibility toggle</t>
  </si>
  <si>
    <t>Send PATCH /api/products/{id}/model-3d/{id}/toggle as an anonymous caller</t>
  </si>
  <si>
    <t>M3D-21</t>
  </si>
  <si>
    <t>[Abnormal] An image that carries a 3D model cannot be deleted</t>
  </si>
  <si>
    <t>Send POST /api/products/{id}/images/link as a customer</t>
  </si>
  <si>
    <t>Store and Staff</t>
  </si>
  <si>
    <t>UC-02, UC-03. Garden store self-registration, pickup address, co-owners, the staff invitation lifecycle and store statistics.</t>
  </si>
  <si>
    <t>STORE-01</t>
  </si>
  <si>
    <t>[Normal] Creating a store makes the caller its primary owner</t>
  </si>
  <si>
    <t>Send POST /api/stores as a throwaway user</t>
  </si>
  <si>
    <t>A newly created user account</t>
  </si>
  <si>
    <t>STORE-02</t>
  </si>
  <si>
    <t>[Normal] Creating a store grants the caller the garden-owner role</t>
  </si>
  <si>
    <t>Send POST /api/tags as a throwaway user</t>
  </si>
  <si>
    <t>STORE-03</t>
  </si>
  <si>
    <t>[Abnormal] A store with an invalid hotline is rejected</t>
  </si>
  <si>
    <t>STORE-04</t>
  </si>
  <si>
    <t>[Abnormal] A store with a blank name is rejected</t>
  </si>
  <si>
    <t>STORE-05</t>
  </si>
  <si>
    <t>[Normal] A new store appears in the owner's own store list</t>
  </si>
  <si>
    <t>Send GET /api/stores/mine as a throwaway user</t>
  </si>
  <si>
    <t>A throwaway user who owns a freshly created store</t>
  </si>
  <si>
    <t>STORE-06</t>
  </si>
  <si>
    <t>[Normal] The owner updates their store</t>
  </si>
  <si>
    <t>Send PUT /api/stores/{id} as a throwaway user</t>
  </si>
  <si>
    <t>Returns 200 OK and name = Vườn đã đổi tên</t>
  </si>
  <si>
    <t>STORE-07</t>
  </si>
  <si>
    <t>[Abnormal] A stranger cannot update someone else's store</t>
  </si>
  <si>
    <t>STORE-08</t>
  </si>
  <si>
    <t>[Abnormal] Updating an unknown store returns 404</t>
  </si>
  <si>
    <t>STORE-09</t>
  </si>
  <si>
    <t>[Normal] The owner adds a shipping address to their store</t>
  </si>
  <si>
    <t>Send POST /api/stores/{id}/address as a throwaway user</t>
  </si>
  <si>
    <t>STORE-10</t>
  </si>
  <si>
    <t>[Abnormal] Adding a second address to the same store returns 409</t>
  </si>
  <si>
    <t>STORE-11</t>
  </si>
  <si>
    <t>[Abnormal] An address with an unknown ward is rejected</t>
  </si>
  <si>
    <t>STORE-12</t>
  </si>
  <si>
    <t>[Abnormal] Updating an address before one exists returns 404</t>
  </si>
  <si>
    <t>Send PUT /api/stores/{id}/address as a throwaway user</t>
  </si>
  <si>
    <t>STORE-13</t>
  </si>
  <si>
    <t>[Normal] The primary owner adds a co-owner</t>
  </si>
  <si>
    <t>Send POST /api/stores/{id}/owners as a throwaway user</t>
  </si>
  <si>
    <t>STORE-14</t>
  </si>
  <si>
    <t>[Abnormal] Adding the same co-owner twice returns 409</t>
  </si>
  <si>
    <t>STORE-15</t>
  </si>
  <si>
    <t>[Abnormal] The last primary owner cannot be removed</t>
  </si>
  <si>
    <t>Send DELETE /api/stores/{id}/owners/{id} as a throwaway user</t>
  </si>
  <si>
    <t>STORE-16</t>
  </si>
  <si>
    <t>[Normal] A co-owner can be removed again</t>
  </si>
  <si>
    <t>STORE-17</t>
  </si>
  <si>
    <t>[Normal] The owner invites a staff member and the invitation is pending</t>
  </si>
  <si>
    <t>Send POST /api/stores/{id}/staff as a throwaway user</t>
  </si>
  <si>
    <t>Returns 201 Created and status = Pending</t>
  </si>
  <si>
    <t>STORE-18</t>
  </si>
  <si>
    <t>[Abnormal] Inviting the store owner as staff is rejected</t>
  </si>
  <si>
    <t>STORE-19</t>
  </si>
  <si>
    <t>[Abnormal] Inviting the same person while a request is pending returns 409</t>
  </si>
  <si>
    <t>STORE-20</t>
  </si>
  <si>
    <t>[Abnormal] Inviting an unknown user is rejected</t>
  </si>
  <si>
    <t>STORE-21</t>
  </si>
  <si>
    <t>[Normal] The invitee sees the invitation in their own list</t>
  </si>
  <si>
    <t>Send GET /api/stores/staff/invitations/mine as a throwaway user</t>
  </si>
  <si>
    <t>A store owner has sent a staff invitation that is still pending</t>
  </si>
  <si>
    <t>STORE-22</t>
  </si>
  <si>
    <t>[Normal] The invitee accepts and becomes accepted staff</t>
  </si>
  <si>
    <t>Send POST /api/stores/staff/{id}/accept as a throwaway user</t>
  </si>
  <si>
    <t>Returns 200 OK and status = Accepted</t>
  </si>
  <si>
    <t>STORE-23</t>
  </si>
  <si>
    <t>[Abnormal] Responding to the same invitation twice returns 409</t>
  </si>
  <si>
    <t>STORE-24</t>
  </si>
  <si>
    <t>[Normal] The invitee rejects the invitation</t>
  </si>
  <si>
    <t>Send POST /api/stores/staff/{id}/reject as a throwaway user</t>
  </si>
  <si>
    <t>STORE-25</t>
  </si>
  <si>
    <t>[Abnormal] Someone else cannot answer an invitation addressed to another user</t>
  </si>
  <si>
    <t>STORE-26</t>
  </si>
  <si>
    <t>[Normal] The owner revokes an accepted staff assignment</t>
  </si>
  <si>
    <t>Send DELETE /api/stores/{id}/staff/{id} as a throwaway user</t>
  </si>
  <si>
    <t>STORE-27</t>
  </si>
  <si>
    <t>[Abnormal] Revoking an already-rejected assignment returns 404</t>
  </si>
  <si>
    <t>STORE-28</t>
  </si>
  <si>
    <t>[Normal] Membership reports accepted staff as staff, not owner</t>
  </si>
  <si>
    <t>STORE-29</t>
  </si>
  <si>
    <t>[Normal] A brand-new store reports zeroed statistics</t>
  </si>
  <si>
    <t>Send GET /api/stores/{id}/statistics as a throwaway user</t>
  </si>
  <si>
    <t>Returns 200 OK and totalRevenue matches 0m, totalDeliveries matches 0</t>
  </si>
  <si>
    <t>STORE-30</t>
  </si>
  <si>
    <t>[Normal] A delivered order shows up in the store statistics</t>
  </si>
  <si>
    <t>Send GET /api/stores/{id}/statistics as a garden owner</t>
  </si>
  <si>
    <t>An order that has been driven all the way to the delivered state</t>
  </si>
  <si>
    <t>STORE-31</t>
  </si>
  <si>
    <t>[Abnormal] A stranger cannot read another store's statistics</t>
  </si>
  <si>
    <t>STORE-32</t>
  </si>
  <si>
    <t>[Abnormal] Accepted staff still cannot read the store statistics</t>
  </si>
  <si>
    <t>User Administration</t>
  </si>
  <si>
    <t>UC-31, UC-32. Admin searches users, locks and unlocks accounts, changes roles, revokes sessions and reads the audit trail.</t>
  </si>
  <si>
    <t>ADMIN-01</t>
  </si>
  <si>
    <t>[Normal] An admin lists users and gets a paged result</t>
  </si>
  <si>
    <t>Send GET /api/admin/users as an admin</t>
  </si>
  <si>
    <t>Returns 200 OK and page matches 1, pageSize matches 5</t>
  </si>
  <si>
    <t>ADMIN-02</t>
  </si>
  <si>
    <t>[Boundary] An out-of-range page size falls back to the default</t>
  </si>
  <si>
    <t>Returns 200 OK and page matches 1</t>
  </si>
  <si>
    <t>ADMIN-03</t>
  </si>
  <si>
    <t>[Normal] Searching by email finds the matching user</t>
  </si>
  <si>
    <t>ADMIN-04</t>
  </si>
  <si>
    <t>[Normal] Filtering by role only returns users carrying that role</t>
  </si>
  <si>
    <t>ADMIN-05</t>
  </si>
  <si>
    <t>[Normal] Reading a single user returns their roles as a list</t>
  </si>
  <si>
    <t>Send GET /api/admin/users/{id} as an admin</t>
  </si>
  <si>
    <t>ADMIN-06</t>
  </si>
  <si>
    <t>[Abnormal] Reading an unknown user returns 404</t>
  </si>
  <si>
    <t>ADMIN-07</t>
  </si>
  <si>
    <t>[Abnormal] A manager cannot reach the admin user endpoints</t>
  </si>
  <si>
    <t>Send GET /api/admin/users as a manager</t>
  </si>
  <si>
    <t>ADMIN-08</t>
  </si>
  <si>
    <t>[Normal] Locking a user blocks their subsequent login</t>
  </si>
  <si>
    <t>Send POST /api/Auth/login as an admin</t>
  </si>
  <si>
    <t>ADMIN-09</t>
  </si>
  <si>
    <t>[Normal] Locking a user invalidates the access token they already hold</t>
  </si>
  <si>
    <t>Send PATCH /api/admin/users/{id}/status as a throwaway user</t>
  </si>
  <si>
    <t>Returns 401 Unauthorized</t>
  </si>
  <si>
    <t>ADMIN-10</t>
  </si>
  <si>
    <t>[Normal] Unlocking a user lets them log in again</t>
  </si>
  <si>
    <t>ADMIN-11</t>
  </si>
  <si>
    <t>[Normal] Setting the status to its current value is a no-op</t>
  </si>
  <si>
    <t>Send PATCH /api/admin/users/{id}/status as an admin</t>
  </si>
  <si>
    <t>ADMIN-12</t>
  </si>
  <si>
    <t>[Abnormal] An admin cannot lock their own account</t>
  </si>
  <si>
    <t>ADMIN-13</t>
  </si>
  <si>
    <t>[Abnormal] Changing the status of an unknown user returns 404</t>
  </si>
  <si>
    <t>ADMIN-14</t>
  </si>
  <si>
    <t>[Normal] Granting a role is reflected when the user reads it back</t>
  </si>
  <si>
    <t>Send PUT /api/admin/users/{id}/roles as an admin</t>
  </si>
  <si>
    <t>ADMIN-15</t>
  </si>
  <si>
    <t>[Normal] A new role takes effect on the next login</t>
  </si>
  <si>
    <t>ADMIN-16</t>
  </si>
  <si>
    <t>[Abnormal] An empty role list is rejected</t>
  </si>
  <si>
    <t>ADMIN-17</t>
  </si>
  <si>
    <t>[Abnormal] A role list containing None is rejected</t>
  </si>
  <si>
    <t>ADMIN-18</t>
  </si>
  <si>
    <t>[Abnormal] An admin cannot strip their own admin role</t>
  </si>
  <si>
    <t>ADMIN-19</t>
  </si>
  <si>
    <t>[Normal] Revoking sessions kills the token the user already holds</t>
  </si>
  <si>
    <t>Send POST /api/admin/users/{id}/revoke-sessions as a throwaway user</t>
  </si>
  <si>
    <t>ADMIN-20</t>
  </si>
  <si>
    <t>[Normal] Revoking sessions works without a request body</t>
  </si>
  <si>
    <t>Send POST /api/admin/users/{id}/revoke-sessions as an admin</t>
  </si>
  <si>
    <t>ADMIN-21</t>
  </si>
  <si>
    <t>[Normal] The user can log in again after their sessions were revoked</t>
  </si>
  <si>
    <t>The call succeeds</t>
  </si>
  <si>
    <t>ADMIN-22</t>
  </si>
  <si>
    <t>[Normal] A status change writes an audit entry naming the actor</t>
  </si>
  <si>
    <t>Returns 200 OK and reason = Ghi nhật ký.</t>
  </si>
  <si>
    <t>ADMIN-23</t>
  </si>
  <si>
    <t>[Normal] A no-op status change writes no audit entry</t>
  </si>
  <si>
    <t>The response matches the expectation</t>
  </si>
  <si>
    <t>ADMIN-24</t>
  </si>
  <si>
    <t>[Abnormal] A customer cannot read anyone's audit log</t>
  </si>
  <si>
    <t>Send GET /api/admin/users/{id}/audit-logs as a customer</t>
  </si>
  <si>
    <t>ADMIN-25</t>
  </si>
  <si>
    <t>[Normal] A garden owner searches users by email</t>
  </si>
  <si>
    <t>Send GET /api/users/search as a garden owner</t>
  </si>
  <si>
    <t>ADMIN-26</t>
  </si>
  <si>
    <t>[Boundary] A search term shorter than three characters is rejected</t>
  </si>
  <si>
    <t>ADMIN-27</t>
  </si>
  <si>
    <t>[Abnormal] A plain customer cannot search users</t>
  </si>
  <si>
    <t>Send GET /api/admin/users/{id} as a customer</t>
  </si>
  <si>
    <t>Scoring Configuration</t>
  </si>
  <si>
    <t>UC-33. Manager tunes the deterministic feng-shui scoring engine: parameters, element input map, purpose modifiers and room vectors.</t>
  </si>
  <si>
    <t>SCORE-01</t>
  </si>
  <si>
    <t>[Normal] The seeded scoring parameters are readable</t>
  </si>
  <si>
    <t>Send GET /api/admin/scoring/params as a manager</t>
  </si>
  <si>
    <t>SCORE-02</t>
  </si>
  <si>
    <t>[Normal] Updating a parameter overwrites its value</t>
  </si>
  <si>
    <t>Send PUT /api/admin/scoring/params/{id} as a manager</t>
  </si>
  <si>
    <t>Returns 200 OK and description = Lần hai.</t>
  </si>
  <si>
    <t>SCORE-03</t>
  </si>
  <si>
    <t>[Normal] Upserting the same parameter twice does not create a duplicate row</t>
  </si>
  <si>
    <t>SCORE-04</t>
  </si>
  <si>
    <t>[Normal] A changed parameter is visible on the next read</t>
  </si>
  <si>
    <t>SCORE-05</t>
  </si>
  <si>
    <t>[Abnormal] Platform staff cannot read the scoring parameters</t>
  </si>
  <si>
    <t>Send GET /api/admin/scoring/params as platform staff</t>
  </si>
  <si>
    <t>SCORE-06</t>
  </si>
  <si>
    <t>[Abnormal] A customer cannot change a scoring parameter</t>
  </si>
  <si>
    <t>Send PUT /api/admin/scoring/params/SELF_SHARE as a customer</t>
  </si>
  <si>
    <t>SCORE-07</t>
  </si>
  <si>
    <t>[Normal] The seeded element-input map is readable</t>
  </si>
  <si>
    <t>Send GET /api/admin/scoring/element-inputs as a manager</t>
  </si>
  <si>
    <t>SCORE-08</t>
  </si>
  <si>
    <t>[Normal] Creating an element-input mapping stores the weight</t>
  </si>
  <si>
    <t>Send PUT /api/admin/scoring/element-inputs as a manager</t>
  </si>
  <si>
    <t>Returns 200 OK and inputKind = Color, element = Hoa</t>
  </si>
  <si>
    <t>SCORE-09</t>
  </si>
  <si>
    <t>[Normal] Re-sending the same triple updates the row instead of adding one</t>
  </si>
  <si>
    <t>Returns 200 OK and id matches firstId</t>
  </si>
  <si>
    <t>SCORE-10</t>
  </si>
  <si>
    <t>[Normal] The same input code can map to two different elements</t>
  </si>
  <si>
    <t>SCORE-11</t>
  </si>
  <si>
    <t>[Boundary] A zero weight on an element-input mapping is rejected</t>
  </si>
  <si>
    <t>SCORE-12</t>
  </si>
  <si>
    <t>[Abnormal] A blank input code is rejected</t>
  </si>
  <si>
    <t>SCORE-13</t>
  </si>
  <si>
    <t>[Normal] Deleting an element-input mapping removes it from the list</t>
  </si>
  <si>
    <t>Send DELETE /api/admin/scoring/element-inputs/{id} as a manager</t>
  </si>
  <si>
    <t>Returns 200 OK and the item is absent from the returned collection</t>
  </si>
  <si>
    <t>SCORE-14</t>
  </si>
  <si>
    <t>[Abnormal] Deleting an unknown element-input mapping returns 404</t>
  </si>
  <si>
    <t>SCORE-15</t>
  </si>
  <si>
    <t>[Normal] The seeded purpose modifiers are readable</t>
  </si>
  <si>
    <t>Send GET /api/admin/scoring/purpose-modifiers as a manager</t>
  </si>
  <si>
    <t>SCORE-16</t>
  </si>
  <si>
    <t>[Normal] Upserting a purpose modifier updates the existing pair in place</t>
  </si>
  <si>
    <t>Send PUT /api/admin/scoring/purpose-modifiers as a manager</t>
  </si>
  <si>
    <t>SCORE-17</t>
  </si>
  <si>
    <t>[Normal] A negative delta is accepted — it discourages an element</t>
  </si>
  <si>
    <t>SCORE-18</t>
  </si>
  <si>
    <t>[Abnormal] An unknown work purpose is rejected by model binding</t>
  </si>
  <si>
    <t>SCORE-19</t>
  </si>
  <si>
    <t>[Normal] Deleting a purpose modifier removes it</t>
  </si>
  <si>
    <t>Send DELETE /api/admin/scoring/purpose-modifiers/{id} as a manager</t>
  </si>
  <si>
    <t>SCORE-20</t>
  </si>
  <si>
    <t>[Abnormal] Deleting an unknown purpose modifier returns 404</t>
  </si>
  <si>
    <t>SCORE-21</t>
  </si>
  <si>
    <t>[Normal] The seeded workspace-type vectors are readable</t>
  </si>
  <si>
    <t>Send GET /api/admin/scoring/workspace-type-elements as a manager</t>
  </si>
  <si>
    <t>SCORE-22</t>
  </si>
  <si>
    <t>[Normal] Filtering by workspace type only returns that type's rows</t>
  </si>
  <si>
    <t>Returns 200 OK and workspaceTypeId matches typeId</t>
  </si>
  <si>
    <t>Reference data has been seeded</t>
  </si>
  <si>
    <t>SCORE-23</t>
  </si>
  <si>
    <t>[Normal] Upserting a workspace-type vector row updates it in place</t>
  </si>
  <si>
    <t>Send PUT /api/admin/scoring/workspace-type-elements as a manager</t>
  </si>
  <si>
    <t>SCORE-24</t>
  </si>
  <si>
    <t>[Normal] Ideal and Interior are two separate rows for the same element</t>
  </si>
  <si>
    <t>SCORE-25</t>
  </si>
  <si>
    <t>[Abnormal] A source other than Ideal or Interior is rejected</t>
  </si>
  <si>
    <t>SCORE-26</t>
  </si>
  <si>
    <t>[Boundary] A negative weight on a workspace-type vector is rejected</t>
  </si>
  <si>
    <t>SCORE-27</t>
  </si>
  <si>
    <t>[Boundary] A zero weight on a workspace-type vector is accepted</t>
  </si>
  <si>
    <t>SCORE-28</t>
  </si>
  <si>
    <t>[Abnormal] Deleting an unknown workspace-type vector row returns 404</t>
  </si>
  <si>
    <t>Send DELETE /api/admin/scoring/workspace-type-elements/{id} as a manager</t>
  </si>
  <si>
    <t>Workspace Profile</t>
  </si>
  <si>
    <t>UC-12, UC-13. Customer describes a workspace, keeps several profiles, reads the element analysis and places purchased products into a space.</t>
  </si>
  <si>
    <t>WS-01</t>
  </si>
  <si>
    <t>[Normal] A customer creates a workspace profile</t>
  </si>
  <si>
    <t>Send POST /api/workspace as a throwaway user</t>
  </si>
  <si>
    <t>Returns 201 Created and workPurpose = Office</t>
  </si>
  <si>
    <t>WS-02</t>
  </si>
  <si>
    <t>[Normal] The very first profile becomes the default even when not asked for</t>
  </si>
  <si>
    <t>WS-03</t>
  </si>
  <si>
    <t>[Abnormal] A profile with a blank name is rejected</t>
  </si>
  <si>
    <t>WS-04</t>
  </si>
  <si>
    <t>[Boundary] A desk area of zero is rejected</t>
  </si>
  <si>
    <t>WS-05</t>
  </si>
  <si>
    <t>[Abnormal] An unknown style code is rejected</t>
  </si>
  <si>
    <t>WS-06</t>
  </si>
  <si>
    <t>[Abnormal] An unknown workspace type is rejected</t>
  </si>
  <si>
    <t>WS-07</t>
  </si>
  <si>
    <t>[Normal] Updating a profile persists the change</t>
  </si>
  <si>
    <t>Send PUT /api/workspace/{id} as a throwaway user</t>
  </si>
  <si>
    <t>Returns 200 OK and name = Góc làm việc đã đổi, workPurpose = Study</t>
  </si>
  <si>
    <t>A throwaway user with one workspace profile</t>
  </si>
  <si>
    <t>WS-08</t>
  </si>
  <si>
    <t>[Abnormal] Another user's profile is invisible — 404, not 403</t>
  </si>
  <si>
    <t>Send GET /api/workspace/{id} as a throwaway user</t>
  </si>
  <si>
    <t>WS-09</t>
  </si>
  <si>
    <t>[Abnormal] Another user cannot update a profile they do not own</t>
  </si>
  <si>
    <t>WS-10</t>
  </si>
  <si>
    <t>[Normal] Setting a second profile as default unsets the first</t>
  </si>
  <si>
    <t>Send PATCH /api/workspace/{id}/set-default as a throwaway user</t>
  </si>
  <si>
    <t>WS-11</t>
  </si>
  <si>
    <t>[Normal] The default endpoint returns the profile marked default</t>
  </si>
  <si>
    <t>Send GET /api/workspace/default as a throwaway user</t>
  </si>
  <si>
    <t>WS-12</t>
  </si>
  <si>
    <t>[Abnormal] A user with no profile has no default</t>
  </si>
  <si>
    <t>WS-13</t>
  </si>
  <si>
    <t>[Normal] A deleted profile disappears from the list</t>
  </si>
  <si>
    <t>Send DELETE /api/workspace/{id} as a throwaway user</t>
  </si>
  <si>
    <t>WS-14</t>
  </si>
  <si>
    <t>[Normal] Filling more fields raises the completeness percentage</t>
  </si>
  <si>
    <t>The asserted condition holds</t>
  </si>
  <si>
    <t>WS-15</t>
  </si>
  <si>
    <t>[Normal] Valid element inputs are stored on the profile</t>
  </si>
  <si>
    <t>WS-16</t>
  </si>
  <si>
    <t>[Abnormal] Unknown element input codes are dropped silently, not rejected</t>
  </si>
  <si>
    <t>WS-17</t>
  </si>
  <si>
    <t>[Normal] The element-input vocabulary lists the seeded colours and materials</t>
  </si>
  <si>
    <t>Send GET /api/workspace/element-inputs as a throwaway user</t>
  </si>
  <si>
    <t>WS-18</t>
  </si>
  <si>
    <t>[Normal] The element analysis reports one row per element, sorted by gap</t>
  </si>
  <si>
    <t>Send GET /api/workspace/{id}/element-analysis as a throwaway user</t>
  </si>
  <si>
    <t>WS-19</t>
  </si>
  <si>
    <t>[Normal] The element analysis carries a compatibility percentage and insights</t>
  </si>
  <si>
    <t>WS-20</t>
  </si>
  <si>
    <t>[Abnormal] The element analysis of another user's profile returns 404</t>
  </si>
  <si>
    <t>WS-21</t>
  </si>
  <si>
    <t>[Normal] A delivered purchase with feng-shui data is counted in the workspace analysis</t>
  </si>
  <si>
    <t>Send PUT /api/workspace/{id}/placements as a customer</t>
  </si>
  <si>
    <t>The call succeeds and the item is present in the returned collection</t>
  </si>
  <si>
    <t>WS-21b</t>
  </si>
  <si>
    <t>[Abnormal] A placed product with no feng-shui data does not skew the analysis</t>
  </si>
  <si>
    <t>The call succeeds and the item is absent from the returned collection</t>
  </si>
  <si>
    <t>WS-22</t>
  </si>
  <si>
    <t>[Abnormal] An item the user never bought cannot be placed</t>
  </si>
  <si>
    <t>The sample customer has a workspace profile</t>
  </si>
  <si>
    <t>WS-23</t>
  </si>
  <si>
    <t>[Normal] A placed product can be removed from the workspace</t>
  </si>
  <si>
    <t>Send DELETE /api/workspace/{id}/placements/{id} as a customer</t>
  </si>
  <si>
    <t>WS-24</t>
  </si>
  <si>
    <t>[Abnormal] Removing a product that was never placed returns 404</t>
  </si>
  <si>
    <t>WS-25</t>
  </si>
  <si>
    <t>[Normal] A delivered purchase shows up in the purchasable placement list</t>
  </si>
  <si>
    <t>Send GET /api/workspace/placements/purchasable as a customer</t>
  </si>
  <si>
    <t>WS-26</t>
  </si>
  <si>
    <t>[Normal] The seeded workspace types are listed</t>
  </si>
  <si>
    <t>Send GET /api/workspace-types as a throwaway user</t>
  </si>
  <si>
    <t>WS-27</t>
  </si>
  <si>
    <t>[Normal] A customer creates their own workspace type</t>
  </si>
  <si>
    <t>Send POST /api/workspace-types as a throwaway user</t>
  </si>
  <si>
    <t>WS-28</t>
  </si>
  <si>
    <t>[Boundary] A personal weight above one is clamped, not rejected</t>
  </si>
  <si>
    <t>WS-29</t>
  </si>
  <si>
    <t>[Abnormal] A workspace type with a blank name is rejected</t>
  </si>
  <si>
    <t>Send PUT /api/products/{id}/feng-shui as a customer</t>
  </si>
  <si>
    <t>Recommendation and Review</t>
  </si>
  <si>
    <t>UC-14, UC-16. Feng-shui recommendations for a workspace and for carry items, plus product reviews restricted to buyers.</t>
  </si>
  <si>
    <t>Recommendation</t>
  </si>
  <si>
    <t>REC-01</t>
  </si>
  <si>
    <t>[Normal] A workspace profile yields a ranked recommendation set</t>
  </si>
  <si>
    <t>Send POST /api/recommendations as a customer</t>
  </si>
  <si>
    <t>Returns 201 Created and kind = Workspace</t>
  </si>
  <si>
    <t>The customer has a workspace profile</t>
  </si>
  <si>
    <t>REC-02</t>
  </si>
  <si>
    <t>[Boundary] topN caps the number of returned items</t>
  </si>
  <si>
    <t>REC-03</t>
  </si>
  <si>
    <t>[Boundary] A topN above the cap is clamped instead of rejected</t>
  </si>
  <si>
    <t>REC-04</t>
  </si>
  <si>
    <t>[Normal] Every recommended item carries a rationale for the customer</t>
  </si>
  <si>
    <t>REC-05</t>
  </si>
  <si>
    <t>[Normal] A recommendation session can be read back by its id</t>
  </si>
  <si>
    <t>REC-06</t>
  </si>
  <si>
    <t>[Abnormal] Another customer cannot read someone else's recommendation session</t>
  </si>
  <si>
    <t>Send POST /api/recommendations as a throwaway user</t>
  </si>
  <si>
    <t>REC-07</t>
  </si>
  <si>
    <t>[Abnormal] Recommending for an unknown workspace returns 404</t>
  </si>
  <si>
    <t>REC-08</t>
  </si>
  <si>
    <t>[Abnormal] Carry-item recommendations need the customer's birth date</t>
  </si>
  <si>
    <t>Send POST /api/recommendations/personal as a throwaway user</t>
  </si>
  <si>
    <t>Returns 422 Unprocessable Entity</t>
  </si>
  <si>
    <t>REC-09</t>
  </si>
  <si>
    <t>[Normal] The product-fit endpoint scores one product against one workspace</t>
  </si>
  <si>
    <t>Returns 200 OK and productId matches productId, gap matches 5</t>
  </si>
  <si>
    <t>REC-10</t>
  </si>
  <si>
    <t>[Abnormal] The product-fit endpoint rejects a product with no feng-shui attributes</t>
  </si>
  <si>
    <t>Send GET /api/recommendations/fit as a customer</t>
  </si>
  <si>
    <t>Review</t>
  </si>
  <si>
    <t>REV-01</t>
  </si>
  <si>
    <t>[Normal] A customer reviews a product they bought</t>
  </si>
  <si>
    <t>Send POST /api/Review as a customer</t>
  </si>
  <si>
    <t>Returns 201 Created and rating matches 5, productId matches productId</t>
  </si>
  <si>
    <t>The customer has bought and received the product</t>
  </si>
  <si>
    <t>REV-02</t>
  </si>
  <si>
    <t>[Abnormal] A customer cannot review a product they never bought</t>
  </si>
  <si>
    <t>REV-03</t>
  </si>
  <si>
    <t>[Abnormal] Reviewing the same product twice returns 409</t>
  </si>
  <si>
    <t>REV-04</t>
  </si>
  <si>
    <t>[Boundary] A rating of zero is rejected</t>
  </si>
  <si>
    <t>REV-05</t>
  </si>
  <si>
    <t>[Boundary] A rating above five is rejected</t>
  </si>
  <si>
    <t>REV-06</t>
  </si>
  <si>
    <t>[Abnormal] A review with no content is rejected</t>
  </si>
  <si>
    <t>REV-07</t>
  </si>
  <si>
    <t>[Abnormal] Reviewing an unknown product returns 404</t>
  </si>
  <si>
    <t>REV-08</t>
  </si>
  <si>
    <t>[Normal] The author updates their own review</t>
  </si>
  <si>
    <t>Send PUT /api/Review/{id} as a customer</t>
  </si>
  <si>
    <t>REV-09</t>
  </si>
  <si>
    <t>[Abnormal] Someone else cannot edit another customer's review</t>
  </si>
  <si>
    <t>Send PUT /api/Review/{id} as a throwaway user</t>
  </si>
  <si>
    <t>REV-10</t>
  </si>
  <si>
    <t>[Normal] The author deletes their own review and can review again</t>
  </si>
  <si>
    <t>REV-11</t>
  </si>
  <si>
    <t>[Normal] A review appears in the author's own review list</t>
  </si>
  <si>
    <t>Send GET /api/Review/my as a customer</t>
  </si>
  <si>
    <t>REV-12</t>
  </si>
  <si>
    <t>[Normal] Reviews are readable without signing in</t>
  </si>
  <si>
    <t>Shipping and Notification</t>
  </si>
  <si>
    <t>UC-21, UC-22. Carrier webhooks with secret verification, delivery progress, store shipping readiness and the notifications they raise.</t>
  </si>
  <si>
    <t>Shipping webhook</t>
  </si>
  <si>
    <t>SHIP-01</t>
  </si>
  <si>
    <t>[Normal] A webhook carrying the right secret advances the delivery</t>
  </si>
  <si>
    <t>A freshly placed COD order with a pending delivery</t>
  </si>
  <si>
    <t>SHIP-02</t>
  </si>
  <si>
    <t>[Abnormal] A webhook with the wrong secret is rejected</t>
  </si>
  <si>
    <t>SHIP-03</t>
  </si>
  <si>
    <t>[Abnormal] A webhook with no secret header at all is rejected</t>
  </si>
  <si>
    <t>SHIP-04</t>
  </si>
  <si>
    <t>[Abnormal] A webhook for an unknown delivery is accepted for reconciliation</t>
  </si>
  <si>
    <t>SHIP-05</t>
  </si>
  <si>
    <t>[Abnormal] A webhook proposing an illegal transition returns 409</t>
  </si>
  <si>
    <t>SHIP-06</t>
  </si>
  <si>
    <t>[Abnormal] The GHN webhook rejects a wrong key in the query string</t>
  </si>
  <si>
    <t>Send POST /api/shipping/ghn/webhook as an anonymous caller</t>
  </si>
  <si>
    <t>SHIP-07</t>
  </si>
  <si>
    <t>[Normal] The GHN webhook ignores events that do not change status</t>
  </si>
  <si>
    <t>SHIP-08</t>
  </si>
  <si>
    <t>[Normal] A delivery webhook notifies the customer</t>
  </si>
  <si>
    <t>Send GET /api/notifications as a customer</t>
  </si>
  <si>
    <t>The response matches the expectation and the item is present in the returned collection</t>
  </si>
  <si>
    <t>SHIP-09</t>
  </si>
  <si>
    <t>[Normal] A new notification raises the unread count</t>
  </si>
  <si>
    <t>SHIP-10</t>
  </si>
  <si>
    <t>[Normal] The customer reads the progress log of their own delivery</t>
  </si>
  <si>
    <t>Send GET /api/shipping/deliveries/{id}/progress as a customer</t>
  </si>
  <si>
    <t>SHIP-11</t>
  </si>
  <si>
    <t>[Abnormal] A stranger cannot read another order's delivery progress</t>
  </si>
  <si>
    <t>Send GET /api/shipping/deliveries/{id}/progress as a throwaway user</t>
  </si>
  <si>
    <t>SHIP-12</t>
  </si>
  <si>
    <t>[Abnormal] Reading the progress of an unknown delivery returns 404</t>
  </si>
  <si>
    <t>SHIP-13</t>
  </si>
  <si>
    <t>[Abnormal] Requesting redelivery on a delivery that has not failed is refused</t>
  </si>
  <si>
    <t>Send POST /api/shipping/deliveries/{id}/redeliver as a garden owner</t>
  </si>
  <si>
    <t>SHIP-14</t>
  </si>
  <si>
    <t>[Normal] A store with a complete pickup address is ready to ship</t>
  </si>
  <si>
    <t>Send POST /api/orders as a customer</t>
  </si>
  <si>
    <t>Notification</t>
  </si>
  <si>
    <t>NOTI-01</t>
  </si>
  <si>
    <t>[Normal] Marking one notification read lowers the unread count</t>
  </si>
  <si>
    <t>Send PATCH /api/notifications/{id}/read as a customer</t>
  </si>
  <si>
    <t>NOTI-02</t>
  </si>
  <si>
    <t>[Normal] Marking a notification read twice is harmless</t>
  </si>
  <si>
    <t>NOTI-03</t>
  </si>
  <si>
    <t>[Normal] Mark-all-read clears the unread count</t>
  </si>
  <si>
    <t>Send PATCH /api/notifications/read-all as a customer</t>
  </si>
  <si>
    <t>NOTI-04</t>
  </si>
  <si>
    <t>[Normal] The unreadOnly filter hides notifications already read</t>
  </si>
  <si>
    <t>The response matches the expectation and the item is absent from the returned collection</t>
  </si>
  <si>
    <t>NOTI-05</t>
  </si>
  <si>
    <t>[Abnormal] A notification of another user is invisible — 404, not 403</t>
  </si>
  <si>
    <t>Send PATCH /api/notifications/{id}/read as a throwaway user</t>
  </si>
  <si>
    <t>NOTI-06</t>
  </si>
  <si>
    <t>[Normal] A brand-new customer has no notifications</t>
  </si>
  <si>
    <t>Send GET /api/notifications as a throwaway user</t>
  </si>
  <si>
    <t>Address and Taxonomy</t>
  </si>
  <si>
    <t>UC-08. Customer address book with the default-address rule, and the shared element, style and vibe lookups.</t>
  </si>
  <si>
    <t>Address book</t>
  </si>
  <si>
    <t>ADDR-01</t>
  </si>
  <si>
    <t>[Normal] A customer adds a shipping address</t>
  </si>
  <si>
    <t>Send POST /api/addresses as a throwaway user</t>
  </si>
  <si>
    <t>ADDR-02</t>
  </si>
  <si>
    <t>[Normal] The very first address becomes the default even when not asked for</t>
  </si>
  <si>
    <t>ADDR-03</t>
  </si>
  <si>
    <t>[Normal] Setting a second address as default unsets the first</t>
  </si>
  <si>
    <t>Send PATCH /api/addresses/{id}/set-default as a throwaway user</t>
  </si>
  <si>
    <t>ADDR-04</t>
  </si>
  <si>
    <t>[Abnormal] An address without a recipient name is rejected</t>
  </si>
  <si>
    <t>ADDR-05</t>
  </si>
  <si>
    <t>[Abnormal] An address without a street is rejected</t>
  </si>
  <si>
    <t>ADDR-06</t>
  </si>
  <si>
    <t>ADDR-07</t>
  </si>
  <si>
    <t>[Normal] Updating an address persists the change</t>
  </si>
  <si>
    <t>Send PUT /api/addresses/{id} as a throwaway user</t>
  </si>
  <si>
    <t>ADDR-08</t>
  </si>
  <si>
    <t>[Abnormal] Another user's address is invisible — 404, not 403</t>
  </si>
  <si>
    <t>Send GET /api/addresses/{id} as a throwaway user</t>
  </si>
  <si>
    <t>ADDR-09</t>
  </si>
  <si>
    <t>[Normal] A deleted address disappears from the list</t>
  </si>
  <si>
    <t>Send DELETE /api/addresses/{id} as a throwaway user</t>
  </si>
  <si>
    <t>ADDR-10</t>
  </si>
  <si>
    <t>[Abnormal] Deleting an unknown address returns 404</t>
  </si>
  <si>
    <t>Taxonomy lookup</t>
  </si>
  <si>
    <t>LOOKUP-01</t>
  </si>
  <si>
    <t>[Normal] The five elements are readable without signing in</t>
  </si>
  <si>
    <t>Send GET /api/elements as an anonymous caller</t>
  </si>
  <si>
    <t>LOOKUP-02</t>
  </si>
  <si>
    <t>[Normal] The seeded styles are readable without signing in</t>
  </si>
  <si>
    <t>Send GET /api/styles as an anonymous caller</t>
  </si>
  <si>
    <t>LOOKUP-03</t>
  </si>
  <si>
    <t>[Normal] A manager adds a new style and it appears in the public list</t>
  </si>
  <si>
    <t>Send POST /api/styles as an anonymous caller</t>
  </si>
  <si>
    <t>LOOKUP-04</t>
  </si>
  <si>
    <t>[Abnormal] Adding a style whose code already exists returns 409</t>
  </si>
  <si>
    <t>Send POST /api/styles as a manager</t>
  </si>
  <si>
    <t>LOOKUP-05</t>
  </si>
  <si>
    <t>[Abnormal] A style with a blank code is rejected</t>
  </si>
  <si>
    <t>LOOKUP-06</t>
  </si>
  <si>
    <t>[Abnormal] Platform staff cannot add a style — the bar is manager</t>
  </si>
  <si>
    <t>Send POST /api/styles as platform staff</t>
  </si>
  <si>
    <t>LOOKUP-07</t>
  </si>
  <si>
    <t>[Normal] Deactivating a style hides it from the default listing</t>
  </si>
  <si>
    <t>Send PUT /api/styles/{id} as an anonymous caller</t>
  </si>
  <si>
    <t>Returns 200 OK and the item is present in the returned collection, the item is absent from the returned collection</t>
  </si>
  <si>
    <t>LOOKUP-08</t>
  </si>
  <si>
    <t>[Abnormal] Updating a style code that does not exist returns 404</t>
  </si>
  <si>
    <t>Send PUT /api/styles/{NewCode( as a manager</t>
  </si>
  <si>
    <t>LOOKUP-09</t>
  </si>
  <si>
    <t>[Normal] A manager adds a new vibe</t>
  </si>
  <si>
    <t>Send POST /api/vibes as a manager</t>
  </si>
  <si>
    <t>LOOKUP-10</t>
  </si>
  <si>
    <t>[Abnormal] A customer cannot add a vibe</t>
  </si>
  <si>
    <t>Send POST /api/vibes as a customer</t>
  </si>
  <si>
    <t>LOOKUP-11</t>
  </si>
  <si>
    <t>[Normal] The element-input code vocabulary is grouped by kind</t>
  </si>
  <si>
    <t>Send POST /api/addresses as a customer</t>
  </si>
  <si>
    <t>SLA and Refund Pipeline</t>
  </si>
  <si>
    <t>UC-29, UC-30. The time-based sweeps the return SLA worker performs: evidence timeout, refund dispatch, timeout, retry, escalation and liability auto-settle.</t>
  </si>
  <si>
    <t>SLA-01</t>
  </si>
  <si>
    <t>[Normal] A ticket past its evidence deadline is auto-rejected by the sweep</t>
  </si>
  <si>
    <t>Invoke AutoRejectOverdueEvidenceAsync through a real DI scope, the way the background worker does, then send GET /api/returns/{id} as platform staff</t>
  </si>
  <si>
    <t>The asserted condition holds and status = Rejected</t>
  </si>
  <si>
    <t>A return request waiting for the customer to add evidence</t>
  </si>
  <si>
    <t>SLA-02</t>
  </si>
  <si>
    <t>[Normal] The auto-rejection is recorded in the ticket status log</t>
  </si>
  <si>
    <t>SLA-03</t>
  </si>
  <si>
    <t>[Normal] The customer is notified when their ticket is auto-rejected</t>
  </si>
  <si>
    <t>Invoke AutoRejectOverdueEvidenceAsync through a real DI scope, the way the background worker does, then send GET /api/notifications as a customer</t>
  </si>
  <si>
    <t>SLA-04</t>
  </si>
  <si>
    <t>[Boundary] A ticket still inside its evidence deadline is left alone</t>
  </si>
  <si>
    <t>SLA-05</t>
  </si>
  <si>
    <t>[Normal] Resubmitting evidence before the deadline clears it</t>
  </si>
  <si>
    <t>Send POST /api/returns/{id}/resubmit-evidence as a customer</t>
  </si>
  <si>
    <t>The call succeeds and status = Requested</t>
  </si>
  <si>
    <t>SLA-06</t>
  </si>
  <si>
    <t>[Normal] The dispatch sweep moves a pending refund into processing</t>
  </si>
  <si>
    <t>Invoke ProcessPendingRefundsAsync through a real DI scope, the way the background worker does</t>
  </si>
  <si>
    <t>The asserted condition holds and status = Processing</t>
  </si>
  <si>
    <t>SLA-07</t>
  </si>
  <si>
    <t>[Normal] A refund stuck in processing past the timeout is marked failed</t>
  </si>
  <si>
    <t>The asserted condition holds and status = Failed</t>
  </si>
  <si>
    <t>SLA-08</t>
  </si>
  <si>
    <t>[Normal] The retry sweep puts a failed refund back into processing and counts the attempt</t>
  </si>
  <si>
    <t>Invoke AutoProcessFailedRefundsAsync through a real DI scope, the way the background worker does</t>
  </si>
  <si>
    <t>SLA-09</t>
  </si>
  <si>
    <t>[Boundary] A refund that exhausted its retries escalates to manager review</t>
  </si>
  <si>
    <t>The response matches the expectation and status = ManagerReview</t>
  </si>
  <si>
    <t>SLA-10</t>
  </si>
  <si>
    <t>[Normal] A refund in manager review can be confirmed manually</t>
  </si>
  <si>
    <t>Send POST /api/refunds/{id}/manager-confirm as a manager</t>
  </si>
  <si>
    <t>SLA-11</t>
  </si>
  <si>
    <t>[Abnormal] Manual confirmation without evidence is refused</t>
  </si>
  <si>
    <t>SLA-12</t>
  </si>
  <si>
    <t>[Abnormal] A pending refund cannot be retried by hand</t>
  </si>
  <si>
    <t>Send POST /api/refunds/{id}/retry as a manager</t>
  </si>
  <si>
    <t>SLA-13</t>
  </si>
  <si>
    <t>[Normal] The manager cancels a pending refund and the ticket is rejected</t>
  </si>
  <si>
    <t>Send POST /api/refunds/{id}/manager-cancel as platform staff</t>
  </si>
  <si>
    <t>A return request approved for refund, refund still pending</t>
  </si>
  <si>
    <t>SLA-14</t>
  </si>
  <si>
    <t>[Normal] A pending liability past its dispute window is auto-settled</t>
  </si>
  <si>
    <t>Invoke AutoSettleOverdueAsync through a real DI scope, the way the background worker does</t>
  </si>
  <si>
    <t>A return request whose refund has completed, so a vendor liability exists</t>
  </si>
  <si>
    <t>SLA-15</t>
  </si>
  <si>
    <t>[Boundary] A liability still inside its dispute window is left pending</t>
  </si>
  <si>
    <t>SLA-16</t>
  </si>
  <si>
    <t>[Normal] A disputed liability is never auto-settled, even past the deadline</t>
  </si>
  <si>
    <t>Invoke AutoSettleOverdueAsync through a real DI scope, the way the background worker does, then send POST /api/returns/{id}/approve-refund as a customer</t>
  </si>
  <si>
    <t>Vendor Liability</t>
  </si>
  <si>
    <t>UC-30. The debt raised against a garden after the platform refunds a customer: dispute window and manager ruling.</t>
  </si>
  <si>
    <t>LIAB-01</t>
  </si>
  <si>
    <t>[Normal] A completed refund creates a pending vendor liability for the store</t>
  </si>
  <si>
    <t>Send GET /api/vendor-liabilities/gardens/{id} as a manager</t>
  </si>
  <si>
    <t>Returns 200 OK and status = Pending</t>
  </si>
  <si>
    <t>LIAB-02</t>
  </si>
  <si>
    <t>[Normal] The dispute deadline is seven days out</t>
  </si>
  <si>
    <t>LIAB-03</t>
  </si>
  <si>
    <t>[Normal] The garden owner reads their own store's liabilities</t>
  </si>
  <si>
    <t>Send GET /api/vendor-liabilities/gardens/{id} as a garden owner</t>
  </si>
  <si>
    <t>LIAB-04</t>
  </si>
  <si>
    <t>[Abnormal] A customer cannot read a store's liabilities</t>
  </si>
  <si>
    <t>Send GET /api/vendor-liabilities/gardens/{id} as a customer</t>
  </si>
  <si>
    <t>LIAB-05</t>
  </si>
  <si>
    <t>[Abnormal] Platform staff cannot read liabilities — the bar is manager</t>
  </si>
  <si>
    <t>Send GET /api/vendor-liabilities/gardens/{id} as platform staff</t>
  </si>
  <si>
    <t>LIAB-06</t>
  </si>
  <si>
    <t>[Abnormal] A garden owner cannot read another garden's liabilities</t>
  </si>
  <si>
    <t>Send GET /api/vendor-liabilities/gardens/{id} as a throwaway user</t>
  </si>
  <si>
    <t>LIAB-07</t>
  </si>
  <si>
    <t>[Normal] The garden owner disputes a pending liability</t>
  </si>
  <si>
    <t>Send POST /api/vendor-liabilities/{id}/dispute as a garden owner</t>
  </si>
  <si>
    <t>Returns 200 OK and status = Disputed, disputeReason = Cây rời vườn vẫn khỏe, hư hại do vận chuyển.</t>
  </si>
  <si>
    <t>LIAB-08</t>
  </si>
  <si>
    <t>[Abnormal] Disputing without a reason is refused</t>
  </si>
  <si>
    <t>LIAB-09</t>
  </si>
  <si>
    <t>[Abnormal] Disputing the same liability twice returns 409</t>
  </si>
  <si>
    <t>LIAB-10</t>
  </si>
  <si>
    <t>[Abnormal] Disputing an unknown liability returns 404</t>
  </si>
  <si>
    <t>LIAB-11</t>
  </si>
  <si>
    <t>[Abnormal] An admin who does not own the garden cannot dispute on its behalf</t>
  </si>
  <si>
    <t>Send POST /api/vendor-liabilities/{id}/dispute as an admin</t>
  </si>
  <si>
    <t>LIAB-12</t>
  </si>
  <si>
    <t>[Boundary] Disputing after the deadline has passed is refused</t>
  </si>
  <si>
    <t>LIAB-13</t>
  </si>
  <si>
    <t>[Normal] The manager rules for the vendor and the liability is waived</t>
  </si>
  <si>
    <t>Send POST /api/vendor-liabilities/{id}/resolve as a garden owner</t>
  </si>
  <si>
    <t>Returns 200 OK and status = Waived</t>
  </si>
  <si>
    <t>LIAB-14</t>
  </si>
  <si>
    <t>[Normal] The manager rules against the vendor and the liability is settled</t>
  </si>
  <si>
    <t>LIAB-15</t>
  </si>
  <si>
    <t>[Normal] A pending liability can be settled without a prior dispute</t>
  </si>
  <si>
    <t>Send POST /api/vendor-liabilities/{id}/resolve as a manager</t>
  </si>
  <si>
    <t>LIAB-16</t>
  </si>
  <si>
    <t>[Abnormal] A pending liability cannot be waived without a dispute first</t>
  </si>
  <si>
    <t>LIAB-17</t>
  </si>
  <si>
    <t>[Abnormal] A settled liability cannot be ruled on again</t>
  </si>
  <si>
    <t>LIAB-18</t>
  </si>
  <si>
    <t>[Abnormal] A settled liability can no longer be disputed</t>
  </si>
  <si>
    <t>LIAB-19</t>
  </si>
  <si>
    <t>[Abnormal] The garden owner cannot rule on their own liability</t>
  </si>
  <si>
    <t>LIAB-20</t>
  </si>
  <si>
    <t>[Abnormal] Ruling on an unknown liability returns 404</t>
  </si>
  <si>
    <t>Defect Probes</t>
  </si>
  <si>
    <t>Cross cutting. Each case asserts the correct behaviour of a suspected defect; a red case is a real defect recorded in the Defect Log.</t>
  </si>
  <si>
    <t>DEF-03</t>
  </si>
  <si>
    <t>[Integrity] Adding a quantity that overflows int must be rejected, not silently wrapped</t>
  </si>
  <si>
    <t>Send POST /api/cart/items as a customer</t>
  </si>
  <si>
    <t>A store that is eligible to ship, with a product in stock</t>
  </si>
  <si>
    <t>DEF-04</t>
  </si>
  <si>
    <t>[Robustness] Checking out a quantity that overflows int must return 4xx, not 500</t>
  </si>
  <si>
    <t>Returns a 4xx client error, never a 5xx</t>
  </si>
  <si>
    <t>DEF-05</t>
  </si>
  <si>
    <t>[Robustness] A review longer than the column allows must return 4xx, not 500</t>
  </si>
  <si>
    <t>DEF-06</t>
  </si>
  <si>
    <t>[Robustness] A recipient phone longer than the column allows must return 4xx, not 500</t>
  </si>
  <si>
    <t>DEF-07</t>
  </si>
  <si>
    <t>[Robustness] A store name longer than the column allows must return 4xx, not 500</t>
  </si>
  <si>
    <t>DEF-08</t>
  </si>
  <si>
    <t>[Robustness] A workspace name longer than the column allows must return 4xx, not 500</t>
  </si>
  <si>
    <t>DEF-09</t>
  </si>
  <si>
    <t>[Robustness] A product price beyond the column range must return 4xx, not 500</t>
  </si>
  <si>
    <t>DEF-10</t>
  </si>
  <si>
    <t>[Integrity] A negative product price must be rejected on create, as it is on add-variant</t>
  </si>
  <si>
    <t>DEF-11</t>
  </si>
  <si>
    <t>[Robustness] A scoring parameter beyond the column range must return 4xx, not 500</t>
  </si>
  <si>
    <t>Send PUT /api/admin/scoring/params/DEF11_{id} as a manager</t>
  </si>
  <si>
    <t>DEF-12</t>
  </si>
  <si>
    <t>[Integrity] An out-of-range enum value must be rejected, not persisted verbatim</t>
  </si>
  <si>
    <t>DEF-13</t>
  </si>
  <si>
    <t>[Robustness] Vendor acknowledge in a wrong state must return 409, not 500</t>
  </si>
  <si>
    <t>Send POST /api/returns/{id}/vendor-acknowledge as a garden owner</t>
  </si>
  <si>
    <t>A return request in the requested state</t>
  </si>
  <si>
    <t>DEF-14</t>
  </si>
  <si>
    <t>[Integrity] Cancelling a delivery must return the reserved stock</t>
  </si>
  <si>
    <t>Send PATCH /api/orders/deliveries/{id}/status as a customer</t>
  </si>
  <si>
    <t>DEF-15</t>
  </si>
  <si>
    <t>[Money] Rejecting a refunding ticket must stop the pending refund from being paid out</t>
  </si>
  <si>
    <t>Invoke ProcessPendingRefundsAsync through a real DI scope, the way the background worker does, then send POST /api/returns/{id}/reject as platform staff</t>
  </si>
  <si>
    <t>DEF-16</t>
  </si>
  <si>
    <t>[Data] A soft-deleted store must not still expose its owner list</t>
  </si>
  <si>
    <t>Send POST /api/returns/{id}/approve-refund as a customer</t>
  </si>
  <si>
    <t>DEFECT LOG</t>
  </si>
  <si>
    <t>Every defect below was found by an automated test that asserts the correct behaviour. A red test is the evidence; the same test turns green once the defect is fixed and then stays as a regression test.</t>
  </si>
  <si>
    <t>Defect ID</t>
  </si>
  <si>
    <t>Summary</t>
  </si>
  <si>
    <t>Endpoint</t>
  </si>
  <si>
    <t>Category</t>
  </si>
  <si>
    <t>Severity</t>
  </si>
  <si>
    <t>Description / How to reproduce</t>
  </si>
  <si>
    <t>Resolution</t>
  </si>
  <si>
    <t>Status</t>
  </si>
  <si>
    <t>Detected by</t>
  </si>
  <si>
    <t>Cart quantity overflows int and a negative quantity is persisted</t>
  </si>
  <si>
    <t>POST /api/cart/items</t>
  </si>
  <si>
    <t>Integrity</t>
  </si>
  <si>
    <t>High</t>
  </si>
  <si>
    <t>Adding a line, then adding int.MaxValue of the same variant, wraps the running total negative. The negative value passes the stock check and is saved, corrupting every later price calculation.</t>
  </si>
  <si>
    <t>CartService accumulates in long and rejects the request</t>
  </si>
  <si>
    <t>Fixed</t>
  </si>
  <si>
    <t>Defect Probes / DEF-03</t>
  </si>
  <si>
    <t>Checkout with two overflowing quantity lines returns 500</t>
  </si>
  <si>
    <t>POST /api/orders</t>
  </si>
  <si>
    <t>Enumerable.Sum over int is checked arithmetic, so it throws before the quantity guard is ever reached.</t>
  </si>
  <si>
    <t>OrderService sums in long and rejects out-of-range totals with 400</t>
  </si>
  <si>
    <t>Defect Probes / DEF-04</t>
  </si>
  <si>
    <t>A review longer than the column limit returns 500</t>
  </si>
  <si>
    <t>POST /api/Review</t>
  </si>
  <si>
    <t>Content is written straight to a varchar(2000) column with only an emptiness check.</t>
  </si>
  <si>
    <t>Global exception filter maps the truncation error to 400</t>
  </si>
  <si>
    <t>Defect Probes / DEF-05</t>
  </si>
  <si>
    <t>A recipient phone longer than the column limit returns 500</t>
  </si>
  <si>
    <t>POST /api/addresses</t>
  </si>
  <si>
    <t>recipientPhone is stored in varchar(20) with no length or format check.</t>
  </si>
  <si>
    <t>Defect Probes / DEF-06</t>
  </si>
  <si>
    <t>A store name longer than the column limit returns 500</t>
  </si>
  <si>
    <t>POST /api/stores</t>
  </si>
  <si>
    <t>Name is written to varchar(255) with only an emptiness check.</t>
  </si>
  <si>
    <t>Defect Probes / DEF-07</t>
  </si>
  <si>
    <t>A workspace name longer than the column limit returns 500</t>
  </si>
  <si>
    <t>POST /api/workspace</t>
  </si>
  <si>
    <t>Name is written to varchar(100) with only an emptiness check.</t>
  </si>
  <si>
    <t>Defect Probes / DEF-08</t>
  </si>
  <si>
    <t>A product price beyond the column range returns 500</t>
  </si>
  <si>
    <t>POST /api/products</t>
  </si>
  <si>
    <t>Price is written to numeric(12,2) with no upper bound anywhere in the create path.</t>
  </si>
  <si>
    <t>Global exception filter maps the numeric overflow to 400</t>
  </si>
  <si>
    <t>Defect Probes / DEF-09</t>
  </si>
  <si>
    <t>A scoring parameter beyond the column range returns 500</t>
  </si>
  <si>
    <t>PUT /api/admin/scoring/params/{code}</t>
  </si>
  <si>
    <t>Medium</t>
  </si>
  <si>
    <t>Value is written to numeric(5,3) with no range validation in the admin service.</t>
  </si>
  <si>
    <t>Defect Probes / DEF-11</t>
  </si>
  <si>
    <t>Vendor acknowledge in a wrong state returns 500 instead of 409</t>
  </si>
  <si>
    <t>POST /api/returns/{id}/vendor-acknowledge</t>
  </si>
  <si>
    <t>Every staff action pre-checks CanTransition; the two vendor actions do not, so InvalidStateTransitionException escapes unhandled.</t>
  </si>
  <si>
    <t>Global exception filter maps the transition error to 409</t>
  </si>
  <si>
    <t>Defect Probes / DEF-13</t>
  </si>
  <si>
    <t>Cancelling a delivery never returns the reserved stock</t>
  </si>
  <si>
    <t>PATCH /api/orders/deliveries/{id}/status</t>
  </si>
  <si>
    <t>Cancelling a whole order restocks; cancelling a single delivery does not. In a multi-store order one garden cancelling silently leaks its own inventory.</t>
  </si>
  <si>
    <t>UpdateDeliveryStatusAsync restocks the lines of that delivery on cancellation</t>
  </si>
  <si>
    <t>Defect Probes / DEF-14</t>
  </si>
  <si>
    <t>Rejecting a refunding ticket still pays the customer</t>
  </si>
  <si>
    <t>POST /api/returns/{id}/reject</t>
  </si>
  <si>
    <t>Money</t>
  </si>
  <si>
    <t>The state machine allows Refunding to Rejected, but the reject path leaves the pending refund untouched and the SLA sweep later dispatches it.</t>
  </si>
  <si>
    <t>RejectAsync cancels the refund when it is still pending</t>
  </si>
  <si>
    <t>Defect Probes / DEF-15</t>
  </si>
  <si>
    <t>A negative product price is accepted when creating a product</t>
  </si>
  <si>
    <t>The add-variant endpoint rejects a negative price but the create-product endpoint does not, so the same business rule is enforced on only one of the two entry points.</t>
  </si>
  <si>
    <t>Apply the same price guard in ProductService.CreateAsync</t>
  </si>
  <si>
    <t>Open</t>
  </si>
  <si>
    <t>Defect Probes / DEF-10</t>
  </si>
  <si>
    <t>An out-of-range enum value is persisted verbatim</t>
  </si>
  <si>
    <t>Enums are accepted as numbers and stored as strings with no Enum.IsDefined check, so a value such as 999 lands in the database and every later lookup silently misses.</t>
  </si>
  <si>
    <t>Validate enum values on the request, or reject undefined values in the mapping profile</t>
  </si>
  <si>
    <t>Defect Probes / DEF-12</t>
  </si>
  <si>
    <t>A soft-deleted store still exposes its owner list</t>
  </si>
  <si>
    <t>GET /api/stores/{id}/owners</t>
  </si>
  <si>
    <t>Data</t>
  </si>
  <si>
    <t>Low</t>
  </si>
  <si>
    <t>The store existence check uses IgnoreQueryFilters, and the endpoint performs no membership check at all.</t>
  </si>
  <si>
    <t>Drop IgnoreQueryFilters from ExistsAsync and scope the endpoint to members</t>
  </si>
  <si>
    <t>Defect Probes / DEF-16</t>
  </si>
  <si>
    <t>FengDesk AI - Intelligent Workspace Feng Shui Plant Recommendation &amp; E-Commerce Platform</t>
  </si>
  <si>
    <t>SU26SE093</t>
  </si>
  <si>
    <t>1.0</t>
  </si>
  <si>
    <t>1</t>
  </si>
  <si>
    <t>All sheets</t>
  </si>
  <si>
    <t>A</t>
  </si>
  <si>
    <t>Initial version of the integration test report.</t>
  </si>
  <si>
    <t>Report5_Test Documentation.docx</t>
  </si>
  <si>
    <t>2</t>
  </si>
  <si>
    <t>Authentication, Test Statistics</t>
  </si>
  <si>
    <t>Added the 17 multi-step authentication cases (registration, forgot password, change of email) that were executed but not yet listed. The workbook now holds all 88 integration cases.</t>
  </si>
  <si>
    <t>3</t>
  </si>
  <si>
    <t>All feature sheets, Test Statistics, Defect Log</t>
  </si>
  <si>
    <t>Added the twelve business-flow modules completed in this round (catalog, 3D model queue, store and staff, user administration, scoring configuration, workspace, recommendation and review, shipping and notification, address and taxonomy, SLA pipeline, vendor liability, defect probes). Added the Defect Log: 14 defects found, 11 fixed and 3 still open.</t>
  </si>
  <si>
    <t>API hosted in process over real HTTP through WebApplicationFactory, backed by a PostgreSQL database dedicated to testing. Every external integration (email, payment gateway, file storage, LLM, 3D provider, Google sign-in, speech to text, carrier) is replaced by a fake, so no test reaches a third party. Command: dotnet test FengDeskAI.slnx</t>
  </si>
  <si>
    <t>See the Pre-Condition column of each case in the feature sheet</t>
  </si>
  <si>
    <t>API Authorization and Robustnes</t>
  </si>
  <si>
    <t>Release covers eighteen modules: authentication, cart and checkout, payment and cancellation, delivery, returns refunds and exchanges, API authorization and robustness, catalog, 3D model queue, store and staff, user administration, scoring configuration, workspace profile, recommendation and review, shipping and notification, address and taxonomy, SLA and refund pipeline, vendor liability, defect probes.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</si>
</sst>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25">
    <font>
      <sz val="11"/>
      <name val="ＭＳ Ｐゴシック"/>
      <charset val="128"/>
    </font>
    <font>
      <sz val="9"/>
      <name val="ＭＳ ゴシック"/>
      <family val="3"/>
      <charset val="128"/>
    </font>
    <font>
      <sz val="10"/>
      <name val="Tahoma"/>
      <family val="2"/>
    </font>
    <font>
      <b/>
      <sz val="26"/>
      <color indexed="10"/>
      <name val="Tahoma"/>
      <family val="2"/>
    </font>
    <font>
      <b/>
      <sz val="20"/>
      <color indexed="8"/>
      <name val="Tahoma"/>
      <family val="2"/>
    </font>
    <font>
      <b/>
      <sz val="10"/>
      <color indexed="60"/>
      <name val="Tahoma"/>
      <family val="2"/>
    </font>
    <font>
      <i/>
      <sz val="10"/>
      <color indexed="17"/>
      <name val="Tahoma"/>
      <family val="2"/>
    </font>
    <font>
      <b/>
      <sz val="10"/>
      <color indexed="9"/>
      <name val="Tahoma"/>
      <family val="2"/>
    </font>
    <font>
      <b/>
      <sz val="10"/>
      <color indexed="8"/>
      <name val="Tahoma"/>
      <family val="2"/>
    </font>
    <font>
      <b/>
      <sz val="10"/>
      <color indexed="10"/>
      <name val="Tahoma"/>
      <family val="2"/>
    </font>
    <font>
      <b/>
      <sz val="10"/>
      <name val="Tahoma"/>
      <family val="2"/>
    </font>
    <font>
      <u/>
      <sz val="11"/>
      <color indexed="12"/>
      <name val="ＭＳ Ｐゴシック"/>
      <family val="3"/>
      <charset val="128"/>
    </font>
    <font>
      <sz val="10"/>
      <color indexed="10"/>
      <name val="Tahoma"/>
      <family val="2"/>
    </font>
    <font>
      <sz val="10"/>
      <color indexed="8"/>
      <name val="Tahoma"/>
      <family val="2"/>
    </font>
    <font>
      <sz val="10"/>
      <color indexed="9"/>
      <name val="Tahoma"/>
      <family val="2"/>
    </font>
    <font>
      <b/>
      <sz val="10"/>
      <color indexed="12"/>
      <name val="Tahoma"/>
      <family val="2"/>
    </font>
    <font>
      <sz val="11"/>
      <name val="ＭＳ Ｐゴシック"/>
      <family val="2"/>
      <charset val="128"/>
    </font>
    <font>
      <b/>
      <i/>
      <sz val="10"/>
      <name val="Tahoma"/>
      <family val="2"/>
    </font>
    <font>
      <sz val="8"/>
      <color rgb="FF000000"/>
      <name val="Tahoma"/>
      <family val="2"/>
    </font>
    <font>
      <sz val="11"/>
      <name val="ＭＳ Ｐゴシック"/>
      <family val="3"/>
      <charset val="128"/>
    </font>
    <font>
      <i/>
      <sz val="10"/>
      <name val="Tahoma"/>
      <family val="2"/>
    </font>
    <font>
      <b/>
      <sz val="8"/>
      <color indexed="81"/>
      <name val="Tahoma"/>
      <family val="2"/>
    </font>
    <font>
      <sz val="8"/>
      <color indexed="81"/>
      <name val="Tahoma"/>
      <family val="2"/>
    </font>
    <font>
      <b/>
      <sz val="20"/>
      <name val="Tahoma"/>
      <family val="2"/>
    </font>
    <font>
      <u/>
      <sz val="10"/>
      <color indexed="8"/>
      <name val="Tahoma"/>
      <family val="2"/>
    </font>
  </fonts>
  <fills count="7">
    <fill>
      <patternFill patternType="none"/>
    </fill>
    <fill>
      <patternFill patternType="gray125"/>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indexed="27"/>
        <bgColor indexed="41"/>
      </patternFill>
    </fill>
    <fill>
      <patternFill patternType="solid">
        <fgColor theme="6" tint="-0.249977111117893"/>
        <bgColor indexed="32"/>
      </patternFill>
    </fill>
  </fills>
  <borders count="35">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hair">
        <color indexed="8"/>
      </left>
      <right/>
      <top style="thin">
        <color indexed="8"/>
      </top>
      <bottom style="hair">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hair">
        <color indexed="8"/>
      </left>
      <right style="medium">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0" fontId="11" fillId="0" borderId="0" applyNumberFormat="0" applyFill="0" applyBorder="0" applyAlignment="0" applyProtection="0"/>
    <xf numFmtId="0" fontId="16" fillId="0" borderId="0"/>
    <xf numFmtId="0" fontId="16" fillId="0" borderId="0"/>
    <xf numFmtId="0" fontId="1" fillId="0" borderId="0"/>
    <xf numFmtId="0" fontId="19" fillId="0" borderId="0"/>
  </cellStyleXfs>
  <cellXfs count="157">
    <xf numFmtId="0" fontId="0" fillId="0" borderId="0" xfId="0"/>
    <xf numFmtId="0" fontId="2" fillId="2" borderId="0" xfId="0" applyFont="1" applyFill="1"/>
    <xf numFmtId="0" fontId="5" fillId="2" borderId="1" xfId="0" applyFont="1" applyFill="1" applyBorder="1" applyAlignment="1">
      <alignment horizontal="left" vertical="center"/>
    </xf>
    <xf numFmtId="1" fontId="2" fillId="2" borderId="0" xfId="0" applyNumberFormat="1" applyFont="1" applyFill="1"/>
    <xf numFmtId="0" fontId="2" fillId="2" borderId="0" xfId="0" applyFont="1" applyFill="1" applyAlignment="1">
      <alignment horizontal="left"/>
    </xf>
    <xf numFmtId="1" fontId="2" fillId="2" borderId="0" xfId="0" applyNumberFormat="1" applyFont="1" applyFill="1" applyProtection="1">
      <protection hidden="1"/>
    </xf>
    <xf numFmtId="0" fontId="4" fillId="2" borderId="0" xfId="0" applyFont="1" applyFill="1" applyAlignment="1">
      <alignment horizontal="left"/>
    </xf>
    <xf numFmtId="0" fontId="8" fillId="2" borderId="0" xfId="0" applyFont="1" applyFill="1" applyAlignment="1">
      <alignment horizontal="left"/>
    </xf>
    <xf numFmtId="0" fontId="9" fillId="2" borderId="0" xfId="0" applyFont="1" applyFill="1" applyAlignment="1">
      <alignment horizontal="left"/>
    </xf>
    <xf numFmtId="0" fontId="2" fillId="2" borderId="0" xfId="0" applyFont="1" applyFill="1" applyAlignment="1">
      <alignment wrapText="1"/>
    </xf>
    <xf numFmtId="1" fontId="5" fillId="2" borderId="0" xfId="0" applyNumberFormat="1" applyFont="1" applyFill="1"/>
    <xf numFmtId="0" fontId="2" fillId="2" borderId="0" xfId="0" applyFont="1" applyFill="1" applyAlignment="1">
      <alignment vertical="center"/>
    </xf>
    <xf numFmtId="1" fontId="2" fillId="2" borderId="0" xfId="0" applyNumberFormat="1" applyFont="1" applyFill="1" applyAlignment="1" applyProtection="1">
      <alignment vertical="center"/>
      <protection hidden="1"/>
    </xf>
    <xf numFmtId="0" fontId="2" fillId="2" borderId="0" xfId="0" applyFont="1" applyFill="1" applyAlignment="1">
      <alignment horizontal="left" vertical="center"/>
    </xf>
    <xf numFmtId="0" fontId="10" fillId="2" borderId="0" xfId="0" applyFont="1" applyFill="1" applyAlignment="1">
      <alignment horizontal="center"/>
    </xf>
    <xf numFmtId="1" fontId="7" fillId="4" borderId="3" xfId="0" applyNumberFormat="1" applyFont="1" applyFill="1" applyBorder="1" applyAlignment="1">
      <alignment horizontal="center" vertical="center"/>
    </xf>
    <xf numFmtId="0" fontId="7" fillId="4" borderId="4" xfId="0" applyFont="1" applyFill="1" applyBorder="1" applyAlignment="1">
      <alignment horizontal="center" vertical="center"/>
    </xf>
    <xf numFmtId="0" fontId="7" fillId="4" borderId="12" xfId="0" applyFont="1" applyFill="1" applyBorder="1" applyAlignment="1">
      <alignment horizontal="center" vertical="center"/>
    </xf>
    <xf numFmtId="0" fontId="7" fillId="4" borderId="5" xfId="0" applyFont="1" applyFill="1" applyBorder="1" applyAlignment="1">
      <alignment horizontal="center" vertical="center"/>
    </xf>
    <xf numFmtId="1" fontId="2" fillId="2" borderId="9" xfId="0" applyNumberFormat="1" applyFont="1" applyFill="1" applyBorder="1" applyAlignment="1">
      <alignment vertical="center"/>
    </xf>
    <xf numFmtId="49" fontId="2" fillId="2" borderId="10" xfId="0" applyNumberFormat="1" applyFont="1" applyFill="1" applyBorder="1" applyAlignment="1">
      <alignment horizontal="left" vertical="center"/>
    </xf>
    <xf numFmtId="0" fontId="2" fillId="2" borderId="10" xfId="0" applyFont="1" applyFill="1" applyBorder="1" applyAlignment="1">
      <alignment horizontal="left" vertical="center"/>
    </xf>
    <xf numFmtId="0" fontId="2" fillId="2" borderId="11" xfId="0" applyFont="1" applyFill="1" applyBorder="1" applyAlignment="1">
      <alignment horizontal="left" vertical="center"/>
    </xf>
    <xf numFmtId="0" fontId="12" fillId="2" borderId="0" xfId="0" applyFont="1" applyFill="1"/>
    <xf numFmtId="0" fontId="12" fillId="2" borderId="0" xfId="0" applyFont="1" applyFill="1" applyAlignment="1">
      <alignment wrapText="1"/>
    </xf>
    <xf numFmtId="0" fontId="13" fillId="2" borderId="0" xfId="0" applyFont="1" applyFill="1"/>
    <xf numFmtId="0" fontId="2" fillId="2" borderId="0" xfId="0" applyFont="1" applyFill="1" applyAlignment="1">
      <alignment horizontal="center" wrapText="1"/>
    </xf>
    <xf numFmtId="0" fontId="12" fillId="2" borderId="0" xfId="0" applyFont="1" applyFill="1" applyAlignment="1">
      <alignment horizontal="center" wrapText="1"/>
    </xf>
    <xf numFmtId="0" fontId="13" fillId="2" borderId="0" xfId="0" applyFont="1" applyFill="1" applyAlignment="1">
      <alignment horizontal="center" wrapText="1"/>
    </xf>
    <xf numFmtId="0" fontId="9" fillId="2" borderId="0" xfId="3" applyFont="1" applyFill="1" applyAlignment="1">
      <alignment horizontal="center" vertical="center" wrapText="1"/>
    </xf>
    <xf numFmtId="0" fontId="9" fillId="2" borderId="0" xfId="3" applyFont="1" applyFill="1" applyAlignment="1">
      <alignment horizontal="left" vertical="center"/>
    </xf>
    <xf numFmtId="0" fontId="2" fillId="2" borderId="1" xfId="3" applyFont="1" applyFill="1" applyBorder="1" applyAlignment="1">
      <alignment vertical="top" wrapText="1"/>
    </xf>
    <xf numFmtId="0" fontId="12" fillId="2" borderId="0" xfId="0" applyFont="1" applyFill="1" applyAlignment="1">
      <alignment vertical="top" wrapText="1"/>
    </xf>
    <xf numFmtId="0" fontId="13" fillId="2" borderId="1" xfId="0" applyFont="1" applyFill="1" applyBorder="1" applyAlignment="1">
      <alignment horizontal="left" vertical="top" wrapText="1"/>
    </xf>
    <xf numFmtId="0" fontId="10" fillId="2" borderId="0" xfId="2" applyFont="1" applyFill="1"/>
    <xf numFmtId="0" fontId="2" fillId="2" borderId="0" xfId="2" applyFont="1" applyFill="1"/>
    <xf numFmtId="164" fontId="2" fillId="2" borderId="0" xfId="2" applyNumberFormat="1" applyFont="1" applyFill="1"/>
    <xf numFmtId="0" fontId="5" fillId="2" borderId="2" xfId="0" applyFont="1" applyFill="1" applyBorder="1" applyAlignment="1">
      <alignment horizontal="left"/>
    </xf>
    <xf numFmtId="0" fontId="5" fillId="2" borderId="1" xfId="0" applyFont="1" applyFill="1" applyBorder="1" applyAlignment="1">
      <alignment vertical="center"/>
    </xf>
    <xf numFmtId="0" fontId="5" fillId="2" borderId="0" xfId="0" applyFont="1" applyFill="1"/>
    <xf numFmtId="0" fontId="6" fillId="2" borderId="0" xfId="2" applyFont="1" applyFill="1"/>
    <xf numFmtId="0" fontId="2" fillId="2" borderId="15" xfId="0" applyFont="1" applyFill="1" applyBorder="1"/>
    <xf numFmtId="0" fontId="7" fillId="3" borderId="16" xfId="0" applyFont="1" applyFill="1" applyBorder="1" applyAlignment="1">
      <alignment horizontal="center"/>
    </xf>
    <xf numFmtId="0" fontId="7" fillId="3" borderId="4" xfId="0" applyFont="1" applyFill="1" applyBorder="1" applyAlignment="1">
      <alignment horizontal="center"/>
    </xf>
    <xf numFmtId="0" fontId="7" fillId="3" borderId="4" xfId="0" applyFont="1" applyFill="1" applyBorder="1" applyAlignment="1">
      <alignment horizontal="center" wrapText="1"/>
    </xf>
    <xf numFmtId="0" fontId="7" fillId="3" borderId="12" xfId="0" applyFont="1" applyFill="1" applyBorder="1" applyAlignment="1">
      <alignment horizontal="center"/>
    </xf>
    <xf numFmtId="0" fontId="7" fillId="3" borderId="17" xfId="0" applyFont="1" applyFill="1" applyBorder="1" applyAlignment="1">
      <alignment horizontal="center" wrapText="1"/>
    </xf>
    <xf numFmtId="0" fontId="2" fillId="2" borderId="18" xfId="0" applyFont="1" applyFill="1" applyBorder="1" applyAlignment="1">
      <alignment horizontal="center"/>
    </xf>
    <xf numFmtId="0" fontId="2" fillId="2" borderId="7" xfId="0" applyFont="1" applyFill="1" applyBorder="1"/>
    <xf numFmtId="0" fontId="2" fillId="2" borderId="7" xfId="0" applyFont="1" applyFill="1" applyBorder="1" applyAlignment="1">
      <alignment horizontal="center"/>
    </xf>
    <xf numFmtId="0" fontId="2" fillId="2" borderId="19" xfId="0" applyFont="1" applyFill="1" applyBorder="1" applyAlignment="1">
      <alignment horizontal="center"/>
    </xf>
    <xf numFmtId="0" fontId="2" fillId="2" borderId="20" xfId="0" applyFont="1" applyFill="1" applyBorder="1" applyAlignment="1">
      <alignment horizontal="center"/>
    </xf>
    <xf numFmtId="0" fontId="14" fillId="3" borderId="21" xfId="0" applyFont="1" applyFill="1" applyBorder="1" applyAlignment="1">
      <alignment horizontal="center"/>
    </xf>
    <xf numFmtId="0" fontId="7" fillId="3" borderId="10" xfId="0" applyFont="1" applyFill="1" applyBorder="1"/>
    <xf numFmtId="0" fontId="14" fillId="3" borderId="10" xfId="0" applyFont="1" applyFill="1" applyBorder="1" applyAlignment="1">
      <alignment horizontal="center"/>
    </xf>
    <xf numFmtId="0" fontId="14" fillId="3" borderId="22" xfId="0" applyFont="1" applyFill="1" applyBorder="1" applyAlignment="1">
      <alignment horizontal="center"/>
    </xf>
    <xf numFmtId="0" fontId="2" fillId="2" borderId="0" xfId="0" applyFont="1" applyFill="1" applyAlignment="1">
      <alignment horizontal="center"/>
    </xf>
    <xf numFmtId="10" fontId="2" fillId="2" borderId="0" xfId="0" applyNumberFormat="1" applyFont="1" applyFill="1" applyAlignment="1">
      <alignment horizontal="center"/>
    </xf>
    <xf numFmtId="9" fontId="2" fillId="2" borderId="0" xfId="0" applyNumberFormat="1" applyFont="1" applyFill="1" applyAlignment="1">
      <alignment horizontal="center"/>
    </xf>
    <xf numFmtId="0" fontId="5" fillId="2" borderId="0" xfId="0" applyFont="1" applyFill="1" applyAlignment="1">
      <alignment horizontal="left"/>
    </xf>
    <xf numFmtId="2" fontId="15" fillId="2" borderId="0" xfId="0" applyNumberFormat="1" applyFont="1" applyFill="1" applyAlignment="1">
      <alignment horizontal="right" wrapText="1"/>
    </xf>
    <xf numFmtId="0" fontId="6" fillId="2" borderId="0" xfId="3" applyFont="1" applyFill="1" applyAlignment="1">
      <alignment horizontal="left" wrapText="1"/>
    </xf>
    <xf numFmtId="0" fontId="8" fillId="2" borderId="0" xfId="0" applyFont="1" applyFill="1" applyAlignment="1">
      <alignment horizontal="center" vertical="center" wrapText="1"/>
    </xf>
    <xf numFmtId="0" fontId="13" fillId="2" borderId="0" xfId="0" applyFont="1" applyFill="1" applyAlignment="1">
      <alignment horizontal="center" vertical="center" wrapText="1"/>
    </xf>
    <xf numFmtId="0" fontId="10" fillId="5" borderId="23" xfId="3" applyFont="1" applyFill="1" applyBorder="1" applyAlignment="1">
      <alignment horizontal="left" vertical="center"/>
    </xf>
    <xf numFmtId="0" fontId="10" fillId="5" borderId="24" xfId="3" applyFont="1" applyFill="1" applyBorder="1" applyAlignment="1">
      <alignment horizontal="left" vertical="center"/>
    </xf>
    <xf numFmtId="0" fontId="10" fillId="5" borderId="25" xfId="3" applyFont="1" applyFill="1" applyBorder="1" applyAlignment="1">
      <alignment horizontal="left" vertical="center"/>
    </xf>
    <xf numFmtId="0" fontId="6" fillId="2" borderId="0" xfId="3" applyFont="1" applyFill="1" applyAlignment="1">
      <alignment wrapText="1"/>
    </xf>
    <xf numFmtId="0" fontId="7" fillId="6" borderId="26" xfId="3" applyFont="1" applyFill="1" applyBorder="1" applyAlignment="1">
      <alignment horizontal="center" vertical="center" wrapText="1"/>
    </xf>
    <xf numFmtId="0" fontId="17" fillId="2" borderId="26" xfId="3" applyFont="1" applyFill="1" applyBorder="1" applyAlignment="1">
      <alignment horizontal="center" vertical="top" wrapText="1"/>
    </xf>
    <xf numFmtId="0" fontId="2" fillId="2" borderId="26" xfId="3" applyFont="1" applyFill="1" applyBorder="1" applyAlignment="1">
      <alignment horizontal="center" vertical="top" wrapText="1"/>
    </xf>
    <xf numFmtId="0" fontId="17" fillId="2" borderId="30" xfId="3" applyFont="1" applyFill="1" applyBorder="1" applyAlignment="1">
      <alignment horizontal="center" vertical="top" wrapText="1"/>
    </xf>
    <xf numFmtId="0" fontId="17" fillId="2" borderId="31" xfId="3" applyFont="1" applyFill="1" applyBorder="1" applyAlignment="1">
      <alignment horizontal="center" vertical="top" wrapText="1"/>
    </xf>
    <xf numFmtId="0" fontId="17" fillId="2" borderId="32" xfId="3" applyFont="1" applyFill="1" applyBorder="1" applyAlignment="1">
      <alignment horizontal="center" vertical="top" wrapText="1"/>
    </xf>
    <xf numFmtId="0" fontId="2" fillId="2" borderId="33" xfId="3" applyFont="1" applyFill="1" applyBorder="1" applyAlignment="1">
      <alignment horizontal="center" vertical="top" wrapText="1"/>
    </xf>
    <xf numFmtId="0" fontId="2" fillId="2" borderId="34" xfId="3" applyFont="1" applyFill="1" applyBorder="1" applyAlignment="1">
      <alignment horizontal="center" vertical="top" wrapText="1"/>
    </xf>
    <xf numFmtId="0" fontId="2" fillId="2" borderId="31" xfId="3" applyFont="1" applyFill="1" applyBorder="1" applyAlignment="1">
      <alignment horizontal="center" vertical="top" wrapText="1"/>
    </xf>
    <xf numFmtId="0" fontId="10" fillId="2" borderId="27" xfId="3" applyFont="1" applyFill="1" applyBorder="1" applyAlignment="1">
      <alignment horizontal="center" vertical="top" wrapText="1"/>
    </xf>
    <xf numFmtId="0" fontId="10" fillId="2" borderId="30" xfId="3" applyFont="1" applyFill="1" applyBorder="1" applyAlignment="1">
      <alignment horizontal="center" vertical="top" wrapText="1"/>
    </xf>
    <xf numFmtId="0" fontId="3" fillId="0" borderId="13" xfId="5" applyFont="1" applyBorder="1" applyAlignment="1">
      <alignment horizontal="center" vertical="center"/>
    </xf>
    <xf numFmtId="0" fontId="2" fillId="0" borderId="0" xfId="5" applyFont="1" applyAlignment="1">
      <alignment horizontal="center" vertical="center"/>
    </xf>
    <xf numFmtId="0" fontId="5" fillId="2" borderId="0" xfId="5" applyFont="1" applyFill="1" applyAlignment="1">
      <alignment horizontal="left" indent="1"/>
    </xf>
    <xf numFmtId="0" fontId="6" fillId="0" borderId="0" xfId="5" applyFont="1" applyAlignment="1">
      <alignment horizontal="left" indent="1"/>
    </xf>
    <xf numFmtId="0" fontId="2" fillId="0" borderId="0" xfId="5" applyFont="1"/>
    <xf numFmtId="0" fontId="2" fillId="2" borderId="0" xfId="5" applyFont="1" applyFill="1"/>
    <xf numFmtId="0" fontId="10" fillId="2" borderId="1" xfId="5" applyFont="1" applyFill="1" applyBorder="1" applyAlignment="1">
      <alignment horizontal="left"/>
    </xf>
    <xf numFmtId="0" fontId="2" fillId="0" borderId="2" xfId="5" applyFont="1" applyBorder="1"/>
    <xf numFmtId="0" fontId="10" fillId="2" borderId="1" xfId="5" applyFont="1" applyFill="1" applyBorder="1" applyAlignment="1">
      <alignment vertical="center"/>
    </xf>
    <xf numFmtId="0" fontId="10" fillId="0" borderId="0" xfId="5" applyFont="1"/>
    <xf numFmtId="0" fontId="6" fillId="0" borderId="0" xfId="5" applyFont="1" applyAlignment="1">
      <alignment horizontal="left"/>
    </xf>
    <xf numFmtId="0" fontId="5" fillId="0" borderId="0" xfId="5" applyFont="1" applyAlignment="1">
      <alignment horizontal="left" indent="1"/>
    </xf>
    <xf numFmtId="0" fontId="10" fillId="0" borderId="0" xfId="5" applyFont="1" applyAlignment="1">
      <alignment horizontal="left"/>
    </xf>
    <xf numFmtId="164" fontId="7" fillId="3" borderId="3" xfId="5" applyNumberFormat="1" applyFont="1" applyFill="1" applyBorder="1" applyAlignment="1">
      <alignment horizontal="center" vertical="center"/>
    </xf>
    <xf numFmtId="0" fontId="7" fillId="3" borderId="4" xfId="5" applyFont="1" applyFill="1" applyBorder="1" applyAlignment="1">
      <alignment horizontal="center" vertical="center"/>
    </xf>
    <xf numFmtId="0" fontId="7" fillId="3" borderId="5" xfId="5" applyFont="1" applyFill="1" applyBorder="1" applyAlignment="1">
      <alignment horizontal="center" vertical="center"/>
    </xf>
    <xf numFmtId="0" fontId="2" fillId="0" borderId="0" xfId="5" applyFont="1" applyAlignment="1">
      <alignment vertical="center"/>
    </xf>
    <xf numFmtId="0" fontId="2" fillId="0" borderId="0" xfId="5" applyFont="1" applyAlignment="1">
      <alignment vertical="top"/>
    </xf>
    <xf numFmtId="0" fontId="2" fillId="0" borderId="0" xfId="5" applyFont="1" applyAlignment="1">
      <alignment horizontal="left" indent="1"/>
    </xf>
    <xf numFmtId="0" fontId="4" fillId="0" borderId="1" xfId="5" applyFont="1" applyBorder="1" applyAlignment="1">
      <alignment horizontal="center" vertical="center"/>
    </xf>
    <xf numFmtId="1" fontId="5" fillId="2" borderId="1" xfId="0" applyNumberFormat="1" applyFont="1" applyFill="1" applyBorder="1" applyAlignment="1">
      <alignment vertical="center" wrapText="1"/>
    </xf>
    <xf numFmtId="0" fontId="6" fillId="2" borderId="1" xfId="0" applyFont="1" applyFill="1" applyBorder="1" applyAlignment="1">
      <alignment vertical="top" wrapText="1"/>
    </xf>
    <xf numFmtId="1" fontId="5" fillId="2" borderId="13" xfId="0" applyNumberFormat="1" applyFont="1" applyFill="1" applyBorder="1"/>
    <xf numFmtId="0" fontId="6" fillId="2" borderId="1" xfId="0" applyFont="1" applyFill="1" applyBorder="1" applyAlignment="1">
      <alignment horizontal="left"/>
    </xf>
    <xf numFmtId="0" fontId="5" fillId="2" borderId="1" xfId="0" applyFont="1" applyFill="1" applyBorder="1" applyAlignment="1">
      <alignment horizontal="left"/>
    </xf>
    <xf numFmtId="0" fontId="4" fillId="2" borderId="0" xfId="2" applyFont="1" applyFill="1" applyAlignment="1">
      <alignment horizontal="center"/>
    </xf>
    <xf numFmtId="0" fontId="2" fillId="2" borderId="28" xfId="3" applyFont="1" applyFill="1" applyBorder="1" applyAlignment="1">
      <alignment horizontal="left" vertical="top" wrapText="1"/>
    </xf>
    <xf numFmtId="0" fontId="2" fillId="2" borderId="29" xfId="3" applyFont="1" applyFill="1" applyBorder="1" applyAlignment="1">
      <alignment horizontal="left" vertical="top" wrapText="1"/>
    </xf>
    <xf numFmtId="0" fontId="2" fillId="2" borderId="26" xfId="3" applyFont="1" applyFill="1" applyBorder="1" applyAlignment="1">
      <alignment horizontal="left" vertical="top" wrapText="1"/>
    </xf>
    <xf numFmtId="0" fontId="2" fillId="2" borderId="31" xfId="3" applyFont="1" applyFill="1" applyBorder="1" applyAlignment="1">
      <alignment horizontal="left" vertical="top" wrapText="1"/>
    </xf>
    <xf numFmtId="0" fontId="10" fillId="5" borderId="24" xfId="3" applyFont="1" applyFill="1" applyBorder="1" applyAlignment="1">
      <alignment horizontal="center" vertical="center"/>
    </xf>
    <xf numFmtId="49" fontId="10" fillId="5" borderId="24" xfId="3" applyNumberFormat="1" applyFont="1" applyFill="1" applyBorder="1" applyAlignment="1">
      <alignment horizontal="center" vertical="center"/>
    </xf>
    <xf numFmtId="0" fontId="2" fillId="2" borderId="1" xfId="3" applyFont="1" applyFill="1" applyBorder="1" applyAlignment="1">
      <alignment horizontal="center" vertical="top" wrapText="1"/>
    </xf>
    <xf numFmtId="49" fontId="2" fillId="2" borderId="1" xfId="3" applyNumberFormat="1" applyFont="1" applyFill="1" applyBorder="1" applyAlignment="1">
      <alignment horizontal="center" vertical="top" wrapText="1"/>
    </xf>
    <xf numFmtId="0" fontId="2" fillId="2" borderId="1" xfId="0" applyFont="1" applyFill="1" applyBorder="1" applyAlignment="1">
      <alignment horizontal="left" vertical="top" wrapText="1"/>
    </xf>
    <xf numFmtId="0" fontId="2" fillId="0" borderId="0" xfId="0" applyFont="1"/>
    <xf numFmtId="0" fontId="23" fillId="0" borderId="0" xfId="0" applyFont="1"/>
    <xf numFmtId="0" fontId="2" fillId="0" borderId="0" xfId="0" applyFont="1" applyAlignment="1">
      <alignment wrapText="1"/>
    </xf>
    <xf numFmtId="0" fontId="20" fillId="0" borderId="0" xfId="0" applyFont="1" applyAlignment="1">
      <alignment wrapText="1"/>
    </xf>
    <xf numFmtId="0" fontId="13" fillId="2" borderId="1" xfId="3" applyFont="1" applyFill="1" applyBorder="1" applyAlignment="1">
      <alignment vertical="top" wrapText="1"/>
    </xf>
    <xf numFmtId="0" fontId="13" fillId="2" borderId="1" xfId="3" applyFont="1" applyFill="1" applyBorder="1" applyAlignment="1">
      <alignment horizontal="center" vertical="top" wrapText="1"/>
    </xf>
    <xf numFmtId="0" fontId="2" fillId="0" borderId="1" xfId="5" applyFont="1" applyBorder="1" applyAlignment="1">
      <alignment horizontal="left"/>
    </xf>
    <xf numFmtId="0" fontId="2" fillId="0" borderId="13" xfId="5" applyFont="1" applyBorder="1" applyAlignment="1">
      <alignment horizontal="left" vertical="center"/>
    </xf>
    <xf numFmtId="0" fontId="2" fillId="0" borderId="14" xfId="5" applyFont="1" applyBorder="1" applyAlignment="1">
      <alignment horizontal="left" vertical="center"/>
    </xf>
    <xf numFmtId="0" fontId="2" fillId="0" borderId="2" xfId="5" applyFont="1" applyBorder="1" applyAlignment="1">
      <alignment horizontal="left" vertical="center"/>
    </xf>
    <xf numFmtId="49" fontId="2" fillId="0" borderId="2" xfId="5" applyNumberFormat="1" applyFont="1" applyBorder="1"/>
    <xf numFmtId="49" fontId="2" fillId="0" borderId="2" xfId="5" applyNumberFormat="1" applyFont="1" applyBorder="1" applyAlignment="1">
      <alignment horizontal="left" indent="1"/>
    </xf>
    <xf numFmtId="0" fontId="13" fillId="0" borderId="8" xfId="5" applyFont="1" applyBorder="1" applyAlignment="1">
      <alignment vertical="top" wrapText="1"/>
    </xf>
    <xf numFmtId="0" fontId="13" fillId="0" borderId="7" xfId="5" applyFont="1" applyBorder="1" applyAlignment="1">
      <alignment vertical="top" wrapText="1"/>
    </xf>
    <xf numFmtId="15" fontId="13" fillId="0" borderId="7" xfId="5" applyNumberFormat="1" applyFont="1" applyBorder="1" applyAlignment="1">
      <alignment vertical="top" wrapText="1"/>
    </xf>
    <xf numFmtId="164" fontId="13" fillId="0" borderId="6" xfId="5" applyNumberFormat="1" applyFont="1" applyBorder="1" applyAlignment="1">
      <alignment vertical="top" wrapText="1"/>
    </xf>
    <xf numFmtId="164" fontId="13" fillId="0" borderId="9" xfId="5" applyNumberFormat="1" applyFont="1" applyBorder="1" applyAlignment="1">
      <alignment vertical="top" wrapText="1"/>
    </xf>
    <xf numFmtId="0" fontId="13" fillId="0" borderId="10" xfId="5" applyFont="1" applyBorder="1" applyAlignment="1">
      <alignment vertical="top" wrapText="1"/>
    </xf>
    <xf numFmtId="0" fontId="13" fillId="0" borderId="11" xfId="5" applyFont="1" applyBorder="1" applyAlignment="1">
      <alignment vertical="top" wrapText="1"/>
    </xf>
    <xf numFmtId="49" fontId="13" fillId="0" borderId="6" xfId="5" applyNumberFormat="1" applyFont="1" applyBorder="1" applyAlignment="1">
      <alignment vertical="top" wrapText="1"/>
    </xf>
    <xf numFmtId="49" fontId="13" fillId="0" borderId="7" xfId="5" applyNumberFormat="1" applyFont="1" applyBorder="1" applyAlignment="1">
      <alignment horizontal="center" vertical="top" wrapText="1"/>
    </xf>
    <xf numFmtId="49" fontId="13" fillId="0" borderId="10" xfId="5" applyNumberFormat="1" applyFont="1" applyBorder="1" applyAlignment="1">
      <alignment horizontal="center" vertical="top" wrapText="1"/>
    </xf>
    <xf numFmtId="0" fontId="13" fillId="0" borderId="7" xfId="5" applyFont="1" applyBorder="1" applyAlignment="1">
      <alignment horizontal="center" vertical="top" wrapText="1"/>
    </xf>
    <xf numFmtId="0" fontId="13" fillId="0" borderId="10" xfId="5" applyFont="1" applyBorder="1" applyAlignment="1">
      <alignment horizontal="center" vertical="top" wrapText="1"/>
    </xf>
    <xf numFmtId="0" fontId="2" fillId="0" borderId="13" xfId="5" applyFont="1" applyBorder="1" applyAlignment="1">
      <alignment horizontal="left" wrapText="1"/>
    </xf>
    <xf numFmtId="0" fontId="2" fillId="0" borderId="14" xfId="5" applyFont="1" applyBorder="1" applyAlignment="1">
      <alignment horizontal="left" wrapText="1"/>
    </xf>
    <xf numFmtId="0" fontId="2" fillId="0" borderId="2" xfId="5" applyFont="1" applyBorder="1" applyAlignment="1">
      <alignment horizontal="left" wrapText="1"/>
    </xf>
    <xf numFmtId="0" fontId="13" fillId="2" borderId="1" xfId="0" applyFont="1" applyFill="1" applyBorder="1" applyAlignment="1">
      <alignment horizontal="left"/>
    </xf>
    <xf numFmtId="0" fontId="13" fillId="2" borderId="1" xfId="0" applyFont="1" applyFill="1" applyBorder="1" applyAlignment="1">
      <alignment vertical="top" wrapText="1"/>
    </xf>
    <xf numFmtId="49" fontId="13" fillId="2" borderId="7" xfId="0" applyNumberFormat="1" applyFont="1" applyFill="1" applyBorder="1" applyAlignment="1">
      <alignment horizontal="left" vertical="top" wrapText="1"/>
    </xf>
    <xf numFmtId="0" fontId="24" fillId="2" borderId="7" xfId="1" applyNumberFormat="1" applyFont="1" applyFill="1" applyBorder="1" applyAlignment="1" applyProtection="1">
      <alignment horizontal="left" vertical="top" wrapText="1"/>
    </xf>
    <xf numFmtId="0" fontId="13" fillId="2" borderId="8" xfId="0" applyFont="1" applyFill="1" applyBorder="1" applyAlignment="1">
      <alignment horizontal="left" vertical="top" wrapText="1"/>
    </xf>
    <xf numFmtId="0" fontId="13" fillId="2" borderId="7" xfId="0" applyFont="1" applyFill="1" applyBorder="1" applyAlignment="1">
      <alignment horizontal="left" vertical="top" wrapText="1"/>
    </xf>
    <xf numFmtId="0" fontId="11" fillId="2" borderId="7" xfId="1" quotePrefix="1" applyNumberFormat="1" applyFill="1" applyBorder="1" applyAlignment="1" applyProtection="1">
      <alignment horizontal="left" vertical="top" wrapText="1"/>
    </xf>
    <xf numFmtId="0" fontId="11" fillId="2" borderId="7" xfId="1" quotePrefix="1" applyFill="1" applyBorder="1" applyAlignment="1">
      <alignment horizontal="left" vertical="top" wrapText="1"/>
    </xf>
    <xf numFmtId="1" fontId="13" fillId="2" borderId="6" xfId="0" applyNumberFormat="1" applyFont="1" applyFill="1" applyBorder="1" applyAlignment="1">
      <alignment horizontal="center" vertical="top" wrapText="1"/>
    </xf>
    <xf numFmtId="0" fontId="13" fillId="2" borderId="2" xfId="0" applyFont="1" applyFill="1" applyBorder="1" applyAlignment="1">
      <alignment vertical="top"/>
    </xf>
    <xf numFmtId="49" fontId="13" fillId="2" borderId="2" xfId="0" applyNumberFormat="1" applyFont="1" applyFill="1" applyBorder="1" applyAlignment="1">
      <alignment vertical="top"/>
    </xf>
    <xf numFmtId="0" fontId="13" fillId="2" borderId="13" xfId="2" applyFont="1" applyFill="1" applyBorder="1" applyAlignment="1">
      <alignment vertical="top" wrapText="1"/>
    </xf>
    <xf numFmtId="0" fontId="6" fillId="2" borderId="14" xfId="2" applyFont="1" applyFill="1" applyBorder="1" applyAlignment="1">
      <alignment vertical="top" wrapText="1"/>
    </xf>
    <xf numFmtId="0" fontId="6" fillId="2" borderId="2" xfId="2" applyFont="1" applyFill="1" applyBorder="1" applyAlignment="1">
      <alignment vertical="top" wrapText="1"/>
    </xf>
    <xf numFmtId="0" fontId="13" fillId="2" borderId="13" xfId="0" applyFont="1" applyFill="1" applyBorder="1" applyAlignment="1">
      <alignment horizontal="left" wrapText="1"/>
    </xf>
    <xf numFmtId="0" fontId="6" fillId="2" borderId="2" xfId="0" applyFont="1" applyFill="1" applyBorder="1" applyAlignment="1">
      <alignment horizontal="left" wrapText="1"/>
    </xf>
  </cellXfs>
  <cellStyles count="6">
    <cellStyle name="Hyperlink" xfId="1" builtinId="8"/>
    <cellStyle name="Normal" xfId="0" builtinId="0"/>
    <cellStyle name="Normal_Functional Test Case v1.0" xfId="2" xr:uid="{00000000-0005-0000-0000-000002000000}"/>
    <cellStyle name="Normal_Sheet1" xfId="3" xr:uid="{00000000-0005-0000-0000-000003000000}"/>
    <cellStyle name="Normal_Template_UnitTest Case_v0.9" xfId="5" xr:uid="{EEA5E9E7-8D36-4240-9C70-BE5C8BB08911}"/>
    <cellStyle name="標準_結合試験(AllOvertheWorld)"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88900</xdr:rowOff>
    </xdr:from>
    <xdr:to>
      <xdr:col>1</xdr:col>
      <xdr:colOff>0</xdr:colOff>
      <xdr:row>1</xdr:row>
      <xdr:rowOff>787400</xdr:rowOff>
    </xdr:to>
    <xdr:pic>
      <xdr:nvPicPr>
        <xdr:cNvPr id="2" name="Picture 1">
          <a:extLst>
            <a:ext uri="{FF2B5EF4-FFF2-40B4-BE49-F238E27FC236}">
              <a16:creationId xmlns:a16="http://schemas.microsoft.com/office/drawing/2014/main" id="{44A28D81-F0A9-7F4A-AE56-D77A2B14C8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4000"/>
          <a:ext cx="213360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95E7C-3083-0D4D-BE51-7E9C959622A8}">
  <dimension ref="A2:F17"/>
  <sheetViews>
    <sheetView showGridLines="0" tabSelected="1" workbookViewId="0"/>
  </sheetViews>
  <sheetFormatPr defaultColWidth="9" defaultRowHeight="13.2"/>
  <cols>
    <col min="1" max="1" width="28.109375" style="97" customWidth="1"/>
    <col min="2" max="2" width="10" style="83" customWidth="1"/>
    <col min="3" max="3" width="14.33203125" style="83" customWidth="1"/>
    <col min="4" max="4" width="8" style="83" customWidth="1"/>
    <col min="5" max="5" width="38" style="83" customWidth="1"/>
    <col min="6" max="6" width="48.109375" style="83" customWidth="1"/>
    <col min="7" max="256" width="9" style="83"/>
    <col min="257" max="257" width="28.109375" style="83" customWidth="1"/>
    <col min="258" max="258" width="10" style="83" customWidth="1"/>
    <col min="259" max="259" width="14.33203125" style="83" customWidth="1"/>
    <col min="260" max="260" width="8" style="83" customWidth="1"/>
    <col min="261" max="261" width="38" style="83" customWidth="1"/>
    <col min="262" max="262" width="48.109375" style="83" customWidth="1"/>
    <col min="263" max="512" width="9" style="83"/>
    <col min="513" max="513" width="28.109375" style="83" customWidth="1"/>
    <col min="514" max="514" width="10" style="83" customWidth="1"/>
    <col min="515" max="515" width="14.33203125" style="83" customWidth="1"/>
    <col min="516" max="516" width="8" style="83" customWidth="1"/>
    <col min="517" max="517" width="38" style="83" customWidth="1"/>
    <col min="518" max="518" width="48.109375" style="83" customWidth="1"/>
    <col min="519" max="768" width="9" style="83"/>
    <col min="769" max="769" width="28.109375" style="83" customWidth="1"/>
    <col min="770" max="770" width="10" style="83" customWidth="1"/>
    <col min="771" max="771" width="14.33203125" style="83" customWidth="1"/>
    <col min="772" max="772" width="8" style="83" customWidth="1"/>
    <col min="773" max="773" width="38" style="83" customWidth="1"/>
    <col min="774" max="774" width="48.109375" style="83" customWidth="1"/>
    <col min="775" max="1024" width="9" style="83"/>
    <col min="1025" max="1025" width="28.109375" style="83" customWidth="1"/>
    <col min="1026" max="1026" width="10" style="83" customWidth="1"/>
    <col min="1027" max="1027" width="14.33203125" style="83" customWidth="1"/>
    <col min="1028" max="1028" width="8" style="83" customWidth="1"/>
    <col min="1029" max="1029" width="38" style="83" customWidth="1"/>
    <col min="1030" max="1030" width="48.109375" style="83" customWidth="1"/>
    <col min="1031" max="1280" width="9" style="83"/>
    <col min="1281" max="1281" width="28.109375" style="83" customWidth="1"/>
    <col min="1282" max="1282" width="10" style="83" customWidth="1"/>
    <col min="1283" max="1283" width="14.33203125" style="83" customWidth="1"/>
    <col min="1284" max="1284" width="8" style="83" customWidth="1"/>
    <col min="1285" max="1285" width="38" style="83" customWidth="1"/>
    <col min="1286" max="1286" width="48.109375" style="83" customWidth="1"/>
    <col min="1287" max="1536" width="9" style="83"/>
    <col min="1537" max="1537" width="28.109375" style="83" customWidth="1"/>
    <col min="1538" max="1538" width="10" style="83" customWidth="1"/>
    <col min="1539" max="1539" width="14.33203125" style="83" customWidth="1"/>
    <col min="1540" max="1540" width="8" style="83" customWidth="1"/>
    <col min="1541" max="1541" width="38" style="83" customWidth="1"/>
    <col min="1542" max="1542" width="48.109375" style="83" customWidth="1"/>
    <col min="1543" max="1792" width="9" style="83"/>
    <col min="1793" max="1793" width="28.109375" style="83" customWidth="1"/>
    <col min="1794" max="1794" width="10" style="83" customWidth="1"/>
    <col min="1795" max="1795" width="14.33203125" style="83" customWidth="1"/>
    <col min="1796" max="1796" width="8" style="83" customWidth="1"/>
    <col min="1797" max="1797" width="38" style="83" customWidth="1"/>
    <col min="1798" max="1798" width="48.109375" style="83" customWidth="1"/>
    <col min="1799" max="2048" width="9" style="83"/>
    <col min="2049" max="2049" width="28.109375" style="83" customWidth="1"/>
    <col min="2050" max="2050" width="10" style="83" customWidth="1"/>
    <col min="2051" max="2051" width="14.33203125" style="83" customWidth="1"/>
    <col min="2052" max="2052" width="8" style="83" customWidth="1"/>
    <col min="2053" max="2053" width="38" style="83" customWidth="1"/>
    <col min="2054" max="2054" width="48.109375" style="83" customWidth="1"/>
    <col min="2055" max="2304" width="9" style="83"/>
    <col min="2305" max="2305" width="28.109375" style="83" customWidth="1"/>
    <col min="2306" max="2306" width="10" style="83" customWidth="1"/>
    <col min="2307" max="2307" width="14.33203125" style="83" customWidth="1"/>
    <col min="2308" max="2308" width="8" style="83" customWidth="1"/>
    <col min="2309" max="2309" width="38" style="83" customWidth="1"/>
    <col min="2310" max="2310" width="48.109375" style="83" customWidth="1"/>
    <col min="2311" max="2560" width="9" style="83"/>
    <col min="2561" max="2561" width="28.109375" style="83" customWidth="1"/>
    <col min="2562" max="2562" width="10" style="83" customWidth="1"/>
    <col min="2563" max="2563" width="14.33203125" style="83" customWidth="1"/>
    <col min="2564" max="2564" width="8" style="83" customWidth="1"/>
    <col min="2565" max="2565" width="38" style="83" customWidth="1"/>
    <col min="2566" max="2566" width="48.109375" style="83" customWidth="1"/>
    <col min="2567" max="2816" width="9" style="83"/>
    <col min="2817" max="2817" width="28.109375" style="83" customWidth="1"/>
    <col min="2818" max="2818" width="10" style="83" customWidth="1"/>
    <col min="2819" max="2819" width="14.33203125" style="83" customWidth="1"/>
    <col min="2820" max="2820" width="8" style="83" customWidth="1"/>
    <col min="2821" max="2821" width="38" style="83" customWidth="1"/>
    <col min="2822" max="2822" width="48.109375" style="83" customWidth="1"/>
    <col min="2823" max="3072" width="9" style="83"/>
    <col min="3073" max="3073" width="28.109375" style="83" customWidth="1"/>
    <col min="3074" max="3074" width="10" style="83" customWidth="1"/>
    <col min="3075" max="3075" width="14.33203125" style="83" customWidth="1"/>
    <col min="3076" max="3076" width="8" style="83" customWidth="1"/>
    <col min="3077" max="3077" width="38" style="83" customWidth="1"/>
    <col min="3078" max="3078" width="48.109375" style="83" customWidth="1"/>
    <col min="3079" max="3328" width="9" style="83"/>
    <col min="3329" max="3329" width="28.109375" style="83" customWidth="1"/>
    <col min="3330" max="3330" width="10" style="83" customWidth="1"/>
    <col min="3331" max="3331" width="14.33203125" style="83" customWidth="1"/>
    <col min="3332" max="3332" width="8" style="83" customWidth="1"/>
    <col min="3333" max="3333" width="38" style="83" customWidth="1"/>
    <col min="3334" max="3334" width="48.109375" style="83" customWidth="1"/>
    <col min="3335" max="3584" width="9" style="83"/>
    <col min="3585" max="3585" width="28.109375" style="83" customWidth="1"/>
    <col min="3586" max="3586" width="10" style="83" customWidth="1"/>
    <col min="3587" max="3587" width="14.33203125" style="83" customWidth="1"/>
    <col min="3588" max="3588" width="8" style="83" customWidth="1"/>
    <col min="3589" max="3589" width="38" style="83" customWidth="1"/>
    <col min="3590" max="3590" width="48.109375" style="83" customWidth="1"/>
    <col min="3591" max="3840" width="9" style="83"/>
    <col min="3841" max="3841" width="28.109375" style="83" customWidth="1"/>
    <col min="3842" max="3842" width="10" style="83" customWidth="1"/>
    <col min="3843" max="3843" width="14.33203125" style="83" customWidth="1"/>
    <col min="3844" max="3844" width="8" style="83" customWidth="1"/>
    <col min="3845" max="3845" width="38" style="83" customWidth="1"/>
    <col min="3846" max="3846" width="48.109375" style="83" customWidth="1"/>
    <col min="3847" max="4096" width="9" style="83"/>
    <col min="4097" max="4097" width="28.109375" style="83" customWidth="1"/>
    <col min="4098" max="4098" width="10" style="83" customWidth="1"/>
    <col min="4099" max="4099" width="14.33203125" style="83" customWidth="1"/>
    <col min="4100" max="4100" width="8" style="83" customWidth="1"/>
    <col min="4101" max="4101" width="38" style="83" customWidth="1"/>
    <col min="4102" max="4102" width="48.109375" style="83" customWidth="1"/>
    <col min="4103" max="4352" width="9" style="83"/>
    <col min="4353" max="4353" width="28.109375" style="83" customWidth="1"/>
    <col min="4354" max="4354" width="10" style="83" customWidth="1"/>
    <col min="4355" max="4355" width="14.33203125" style="83" customWidth="1"/>
    <col min="4356" max="4356" width="8" style="83" customWidth="1"/>
    <col min="4357" max="4357" width="38" style="83" customWidth="1"/>
    <col min="4358" max="4358" width="48.109375" style="83" customWidth="1"/>
    <col min="4359" max="4608" width="9" style="83"/>
    <col min="4609" max="4609" width="28.109375" style="83" customWidth="1"/>
    <col min="4610" max="4610" width="10" style="83" customWidth="1"/>
    <col min="4611" max="4611" width="14.33203125" style="83" customWidth="1"/>
    <col min="4612" max="4612" width="8" style="83" customWidth="1"/>
    <col min="4613" max="4613" width="38" style="83" customWidth="1"/>
    <col min="4614" max="4614" width="48.109375" style="83" customWidth="1"/>
    <col min="4615" max="4864" width="9" style="83"/>
    <col min="4865" max="4865" width="28.109375" style="83" customWidth="1"/>
    <col min="4866" max="4866" width="10" style="83" customWidth="1"/>
    <col min="4867" max="4867" width="14.33203125" style="83" customWidth="1"/>
    <col min="4868" max="4868" width="8" style="83" customWidth="1"/>
    <col min="4869" max="4869" width="38" style="83" customWidth="1"/>
    <col min="4870" max="4870" width="48.109375" style="83" customWidth="1"/>
    <col min="4871" max="5120" width="9" style="83"/>
    <col min="5121" max="5121" width="28.109375" style="83" customWidth="1"/>
    <col min="5122" max="5122" width="10" style="83" customWidth="1"/>
    <col min="5123" max="5123" width="14.33203125" style="83" customWidth="1"/>
    <col min="5124" max="5124" width="8" style="83" customWidth="1"/>
    <col min="5125" max="5125" width="38" style="83" customWidth="1"/>
    <col min="5126" max="5126" width="48.109375" style="83" customWidth="1"/>
    <col min="5127" max="5376" width="9" style="83"/>
    <col min="5377" max="5377" width="28.109375" style="83" customWidth="1"/>
    <col min="5378" max="5378" width="10" style="83" customWidth="1"/>
    <col min="5379" max="5379" width="14.33203125" style="83" customWidth="1"/>
    <col min="5380" max="5380" width="8" style="83" customWidth="1"/>
    <col min="5381" max="5381" width="38" style="83" customWidth="1"/>
    <col min="5382" max="5382" width="48.109375" style="83" customWidth="1"/>
    <col min="5383" max="5632" width="9" style="83"/>
    <col min="5633" max="5633" width="28.109375" style="83" customWidth="1"/>
    <col min="5634" max="5634" width="10" style="83" customWidth="1"/>
    <col min="5635" max="5635" width="14.33203125" style="83" customWidth="1"/>
    <col min="5636" max="5636" width="8" style="83" customWidth="1"/>
    <col min="5637" max="5637" width="38" style="83" customWidth="1"/>
    <col min="5638" max="5638" width="48.109375" style="83" customWidth="1"/>
    <col min="5639" max="5888" width="9" style="83"/>
    <col min="5889" max="5889" width="28.109375" style="83" customWidth="1"/>
    <col min="5890" max="5890" width="10" style="83" customWidth="1"/>
    <col min="5891" max="5891" width="14.33203125" style="83" customWidth="1"/>
    <col min="5892" max="5892" width="8" style="83" customWidth="1"/>
    <col min="5893" max="5893" width="38" style="83" customWidth="1"/>
    <col min="5894" max="5894" width="48.109375" style="83" customWidth="1"/>
    <col min="5895" max="6144" width="9" style="83"/>
    <col min="6145" max="6145" width="28.109375" style="83" customWidth="1"/>
    <col min="6146" max="6146" width="10" style="83" customWidth="1"/>
    <col min="6147" max="6147" width="14.33203125" style="83" customWidth="1"/>
    <col min="6148" max="6148" width="8" style="83" customWidth="1"/>
    <col min="6149" max="6149" width="38" style="83" customWidth="1"/>
    <col min="6150" max="6150" width="48.109375" style="83" customWidth="1"/>
    <col min="6151" max="6400" width="9" style="83"/>
    <col min="6401" max="6401" width="28.109375" style="83" customWidth="1"/>
    <col min="6402" max="6402" width="10" style="83" customWidth="1"/>
    <col min="6403" max="6403" width="14.33203125" style="83" customWidth="1"/>
    <col min="6404" max="6404" width="8" style="83" customWidth="1"/>
    <col min="6405" max="6405" width="38" style="83" customWidth="1"/>
    <col min="6406" max="6406" width="48.109375" style="83" customWidth="1"/>
    <col min="6407" max="6656" width="9" style="83"/>
    <col min="6657" max="6657" width="28.109375" style="83" customWidth="1"/>
    <col min="6658" max="6658" width="10" style="83" customWidth="1"/>
    <col min="6659" max="6659" width="14.33203125" style="83" customWidth="1"/>
    <col min="6660" max="6660" width="8" style="83" customWidth="1"/>
    <col min="6661" max="6661" width="38" style="83" customWidth="1"/>
    <col min="6662" max="6662" width="48.109375" style="83" customWidth="1"/>
    <col min="6663" max="6912" width="9" style="83"/>
    <col min="6913" max="6913" width="28.109375" style="83" customWidth="1"/>
    <col min="6914" max="6914" width="10" style="83" customWidth="1"/>
    <col min="6915" max="6915" width="14.33203125" style="83" customWidth="1"/>
    <col min="6916" max="6916" width="8" style="83" customWidth="1"/>
    <col min="6917" max="6917" width="38" style="83" customWidth="1"/>
    <col min="6918" max="6918" width="48.109375" style="83" customWidth="1"/>
    <col min="6919" max="7168" width="9" style="83"/>
    <col min="7169" max="7169" width="28.109375" style="83" customWidth="1"/>
    <col min="7170" max="7170" width="10" style="83" customWidth="1"/>
    <col min="7171" max="7171" width="14.33203125" style="83" customWidth="1"/>
    <col min="7172" max="7172" width="8" style="83" customWidth="1"/>
    <col min="7173" max="7173" width="38" style="83" customWidth="1"/>
    <col min="7174" max="7174" width="48.109375" style="83" customWidth="1"/>
    <col min="7175" max="7424" width="9" style="83"/>
    <col min="7425" max="7425" width="28.109375" style="83" customWidth="1"/>
    <col min="7426" max="7426" width="10" style="83" customWidth="1"/>
    <col min="7427" max="7427" width="14.33203125" style="83" customWidth="1"/>
    <col min="7428" max="7428" width="8" style="83" customWidth="1"/>
    <col min="7429" max="7429" width="38" style="83" customWidth="1"/>
    <col min="7430" max="7430" width="48.109375" style="83" customWidth="1"/>
    <col min="7431" max="7680" width="9" style="83"/>
    <col min="7681" max="7681" width="28.109375" style="83" customWidth="1"/>
    <col min="7682" max="7682" width="10" style="83" customWidth="1"/>
    <col min="7683" max="7683" width="14.33203125" style="83" customWidth="1"/>
    <col min="7684" max="7684" width="8" style="83" customWidth="1"/>
    <col min="7685" max="7685" width="38" style="83" customWidth="1"/>
    <col min="7686" max="7686" width="48.109375" style="83" customWidth="1"/>
    <col min="7687" max="7936" width="9" style="83"/>
    <col min="7937" max="7937" width="28.109375" style="83" customWidth="1"/>
    <col min="7938" max="7938" width="10" style="83" customWidth="1"/>
    <col min="7939" max="7939" width="14.33203125" style="83" customWidth="1"/>
    <col min="7940" max="7940" width="8" style="83" customWidth="1"/>
    <col min="7941" max="7941" width="38" style="83" customWidth="1"/>
    <col min="7942" max="7942" width="48.109375" style="83" customWidth="1"/>
    <col min="7943" max="8192" width="9" style="83"/>
    <col min="8193" max="8193" width="28.109375" style="83" customWidth="1"/>
    <col min="8194" max="8194" width="10" style="83" customWidth="1"/>
    <col min="8195" max="8195" width="14.33203125" style="83" customWidth="1"/>
    <col min="8196" max="8196" width="8" style="83" customWidth="1"/>
    <col min="8197" max="8197" width="38" style="83" customWidth="1"/>
    <col min="8198" max="8198" width="48.109375" style="83" customWidth="1"/>
    <col min="8199" max="8448" width="9" style="83"/>
    <col min="8449" max="8449" width="28.109375" style="83" customWidth="1"/>
    <col min="8450" max="8450" width="10" style="83" customWidth="1"/>
    <col min="8451" max="8451" width="14.33203125" style="83" customWidth="1"/>
    <col min="8452" max="8452" width="8" style="83" customWidth="1"/>
    <col min="8453" max="8453" width="38" style="83" customWidth="1"/>
    <col min="8454" max="8454" width="48.109375" style="83" customWidth="1"/>
    <col min="8455" max="8704" width="9" style="83"/>
    <col min="8705" max="8705" width="28.109375" style="83" customWidth="1"/>
    <col min="8706" max="8706" width="10" style="83" customWidth="1"/>
    <col min="8707" max="8707" width="14.33203125" style="83" customWidth="1"/>
    <col min="8708" max="8708" width="8" style="83" customWidth="1"/>
    <col min="8709" max="8709" width="38" style="83" customWidth="1"/>
    <col min="8710" max="8710" width="48.109375" style="83" customWidth="1"/>
    <col min="8711" max="8960" width="9" style="83"/>
    <col min="8961" max="8961" width="28.109375" style="83" customWidth="1"/>
    <col min="8962" max="8962" width="10" style="83" customWidth="1"/>
    <col min="8963" max="8963" width="14.33203125" style="83" customWidth="1"/>
    <col min="8964" max="8964" width="8" style="83" customWidth="1"/>
    <col min="8965" max="8965" width="38" style="83" customWidth="1"/>
    <col min="8966" max="8966" width="48.109375" style="83" customWidth="1"/>
    <col min="8967" max="9216" width="9" style="83"/>
    <col min="9217" max="9217" width="28.109375" style="83" customWidth="1"/>
    <col min="9218" max="9218" width="10" style="83" customWidth="1"/>
    <col min="9219" max="9219" width="14.33203125" style="83" customWidth="1"/>
    <col min="9220" max="9220" width="8" style="83" customWidth="1"/>
    <col min="9221" max="9221" width="38" style="83" customWidth="1"/>
    <col min="9222" max="9222" width="48.109375" style="83" customWidth="1"/>
    <col min="9223" max="9472" width="9" style="83"/>
    <col min="9473" max="9473" width="28.109375" style="83" customWidth="1"/>
    <col min="9474" max="9474" width="10" style="83" customWidth="1"/>
    <col min="9475" max="9475" width="14.33203125" style="83" customWidth="1"/>
    <col min="9476" max="9476" width="8" style="83" customWidth="1"/>
    <col min="9477" max="9477" width="38" style="83" customWidth="1"/>
    <col min="9478" max="9478" width="48.109375" style="83" customWidth="1"/>
    <col min="9479" max="9728" width="9" style="83"/>
    <col min="9729" max="9729" width="28.109375" style="83" customWidth="1"/>
    <col min="9730" max="9730" width="10" style="83" customWidth="1"/>
    <col min="9731" max="9731" width="14.33203125" style="83" customWidth="1"/>
    <col min="9732" max="9732" width="8" style="83" customWidth="1"/>
    <col min="9733" max="9733" width="38" style="83" customWidth="1"/>
    <col min="9734" max="9734" width="48.109375" style="83" customWidth="1"/>
    <col min="9735" max="9984" width="9" style="83"/>
    <col min="9985" max="9985" width="28.109375" style="83" customWidth="1"/>
    <col min="9986" max="9986" width="10" style="83" customWidth="1"/>
    <col min="9987" max="9987" width="14.33203125" style="83" customWidth="1"/>
    <col min="9988" max="9988" width="8" style="83" customWidth="1"/>
    <col min="9989" max="9989" width="38" style="83" customWidth="1"/>
    <col min="9990" max="9990" width="48.109375" style="83" customWidth="1"/>
    <col min="9991" max="10240" width="9" style="83"/>
    <col min="10241" max="10241" width="28.109375" style="83" customWidth="1"/>
    <col min="10242" max="10242" width="10" style="83" customWidth="1"/>
    <col min="10243" max="10243" width="14.33203125" style="83" customWidth="1"/>
    <col min="10244" max="10244" width="8" style="83" customWidth="1"/>
    <col min="10245" max="10245" width="38" style="83" customWidth="1"/>
    <col min="10246" max="10246" width="48.109375" style="83" customWidth="1"/>
    <col min="10247" max="10496" width="9" style="83"/>
    <col min="10497" max="10497" width="28.109375" style="83" customWidth="1"/>
    <col min="10498" max="10498" width="10" style="83" customWidth="1"/>
    <col min="10499" max="10499" width="14.33203125" style="83" customWidth="1"/>
    <col min="10500" max="10500" width="8" style="83" customWidth="1"/>
    <col min="10501" max="10501" width="38" style="83" customWidth="1"/>
    <col min="10502" max="10502" width="48.109375" style="83" customWidth="1"/>
    <col min="10503" max="10752" width="9" style="83"/>
    <col min="10753" max="10753" width="28.109375" style="83" customWidth="1"/>
    <col min="10754" max="10754" width="10" style="83" customWidth="1"/>
    <col min="10755" max="10755" width="14.33203125" style="83" customWidth="1"/>
    <col min="10756" max="10756" width="8" style="83" customWidth="1"/>
    <col min="10757" max="10757" width="38" style="83" customWidth="1"/>
    <col min="10758" max="10758" width="48.109375" style="83" customWidth="1"/>
    <col min="10759" max="11008" width="9" style="83"/>
    <col min="11009" max="11009" width="28.109375" style="83" customWidth="1"/>
    <col min="11010" max="11010" width="10" style="83" customWidth="1"/>
    <col min="11011" max="11011" width="14.33203125" style="83" customWidth="1"/>
    <col min="11012" max="11012" width="8" style="83" customWidth="1"/>
    <col min="11013" max="11013" width="38" style="83" customWidth="1"/>
    <col min="11014" max="11014" width="48.109375" style="83" customWidth="1"/>
    <col min="11015" max="11264" width="9" style="83"/>
    <col min="11265" max="11265" width="28.109375" style="83" customWidth="1"/>
    <col min="11266" max="11266" width="10" style="83" customWidth="1"/>
    <col min="11267" max="11267" width="14.33203125" style="83" customWidth="1"/>
    <col min="11268" max="11268" width="8" style="83" customWidth="1"/>
    <col min="11269" max="11269" width="38" style="83" customWidth="1"/>
    <col min="11270" max="11270" width="48.109375" style="83" customWidth="1"/>
    <col min="11271" max="11520" width="9" style="83"/>
    <col min="11521" max="11521" width="28.109375" style="83" customWidth="1"/>
    <col min="11522" max="11522" width="10" style="83" customWidth="1"/>
    <col min="11523" max="11523" width="14.33203125" style="83" customWidth="1"/>
    <col min="11524" max="11524" width="8" style="83" customWidth="1"/>
    <col min="11525" max="11525" width="38" style="83" customWidth="1"/>
    <col min="11526" max="11526" width="48.109375" style="83" customWidth="1"/>
    <col min="11527" max="11776" width="9" style="83"/>
    <col min="11777" max="11777" width="28.109375" style="83" customWidth="1"/>
    <col min="11778" max="11778" width="10" style="83" customWidth="1"/>
    <col min="11779" max="11779" width="14.33203125" style="83" customWidth="1"/>
    <col min="11780" max="11780" width="8" style="83" customWidth="1"/>
    <col min="11781" max="11781" width="38" style="83" customWidth="1"/>
    <col min="11782" max="11782" width="48.109375" style="83" customWidth="1"/>
    <col min="11783" max="12032" width="9" style="83"/>
    <col min="12033" max="12033" width="28.109375" style="83" customWidth="1"/>
    <col min="12034" max="12034" width="10" style="83" customWidth="1"/>
    <col min="12035" max="12035" width="14.33203125" style="83" customWidth="1"/>
    <col min="12036" max="12036" width="8" style="83" customWidth="1"/>
    <col min="12037" max="12037" width="38" style="83" customWidth="1"/>
    <col min="12038" max="12038" width="48.109375" style="83" customWidth="1"/>
    <col min="12039" max="12288" width="9" style="83"/>
    <col min="12289" max="12289" width="28.109375" style="83" customWidth="1"/>
    <col min="12290" max="12290" width="10" style="83" customWidth="1"/>
    <col min="12291" max="12291" width="14.33203125" style="83" customWidth="1"/>
    <col min="12292" max="12292" width="8" style="83" customWidth="1"/>
    <col min="12293" max="12293" width="38" style="83" customWidth="1"/>
    <col min="12294" max="12294" width="48.109375" style="83" customWidth="1"/>
    <col min="12295" max="12544" width="9" style="83"/>
    <col min="12545" max="12545" width="28.109375" style="83" customWidth="1"/>
    <col min="12546" max="12546" width="10" style="83" customWidth="1"/>
    <col min="12547" max="12547" width="14.33203125" style="83" customWidth="1"/>
    <col min="12548" max="12548" width="8" style="83" customWidth="1"/>
    <col min="12549" max="12549" width="38" style="83" customWidth="1"/>
    <col min="12550" max="12550" width="48.109375" style="83" customWidth="1"/>
    <col min="12551" max="12800" width="9" style="83"/>
    <col min="12801" max="12801" width="28.109375" style="83" customWidth="1"/>
    <col min="12802" max="12802" width="10" style="83" customWidth="1"/>
    <col min="12803" max="12803" width="14.33203125" style="83" customWidth="1"/>
    <col min="12804" max="12804" width="8" style="83" customWidth="1"/>
    <col min="12805" max="12805" width="38" style="83" customWidth="1"/>
    <col min="12806" max="12806" width="48.109375" style="83" customWidth="1"/>
    <col min="12807" max="13056" width="9" style="83"/>
    <col min="13057" max="13057" width="28.109375" style="83" customWidth="1"/>
    <col min="13058" max="13058" width="10" style="83" customWidth="1"/>
    <col min="13059" max="13059" width="14.33203125" style="83" customWidth="1"/>
    <col min="13060" max="13060" width="8" style="83" customWidth="1"/>
    <col min="13061" max="13061" width="38" style="83" customWidth="1"/>
    <col min="13062" max="13062" width="48.109375" style="83" customWidth="1"/>
    <col min="13063" max="13312" width="9" style="83"/>
    <col min="13313" max="13313" width="28.109375" style="83" customWidth="1"/>
    <col min="13314" max="13314" width="10" style="83" customWidth="1"/>
    <col min="13315" max="13315" width="14.33203125" style="83" customWidth="1"/>
    <col min="13316" max="13316" width="8" style="83" customWidth="1"/>
    <col min="13317" max="13317" width="38" style="83" customWidth="1"/>
    <col min="13318" max="13318" width="48.109375" style="83" customWidth="1"/>
    <col min="13319" max="13568" width="9" style="83"/>
    <col min="13569" max="13569" width="28.109375" style="83" customWidth="1"/>
    <col min="13570" max="13570" width="10" style="83" customWidth="1"/>
    <col min="13571" max="13571" width="14.33203125" style="83" customWidth="1"/>
    <col min="13572" max="13572" width="8" style="83" customWidth="1"/>
    <col min="13573" max="13573" width="38" style="83" customWidth="1"/>
    <col min="13574" max="13574" width="48.109375" style="83" customWidth="1"/>
    <col min="13575" max="13824" width="9" style="83"/>
    <col min="13825" max="13825" width="28.109375" style="83" customWidth="1"/>
    <col min="13826" max="13826" width="10" style="83" customWidth="1"/>
    <col min="13827" max="13827" width="14.33203125" style="83" customWidth="1"/>
    <col min="13828" max="13828" width="8" style="83" customWidth="1"/>
    <col min="13829" max="13829" width="38" style="83" customWidth="1"/>
    <col min="13830" max="13830" width="48.109375" style="83" customWidth="1"/>
    <col min="13831" max="14080" width="9" style="83"/>
    <col min="14081" max="14081" width="28.109375" style="83" customWidth="1"/>
    <col min="14082" max="14082" width="10" style="83" customWidth="1"/>
    <col min="14083" max="14083" width="14.33203125" style="83" customWidth="1"/>
    <col min="14084" max="14084" width="8" style="83" customWidth="1"/>
    <col min="14085" max="14085" width="38" style="83" customWidth="1"/>
    <col min="14086" max="14086" width="48.109375" style="83" customWidth="1"/>
    <col min="14087" max="14336" width="9" style="83"/>
    <col min="14337" max="14337" width="28.109375" style="83" customWidth="1"/>
    <col min="14338" max="14338" width="10" style="83" customWidth="1"/>
    <col min="14339" max="14339" width="14.33203125" style="83" customWidth="1"/>
    <col min="14340" max="14340" width="8" style="83" customWidth="1"/>
    <col min="14341" max="14341" width="38" style="83" customWidth="1"/>
    <col min="14342" max="14342" width="48.109375" style="83" customWidth="1"/>
    <col min="14343" max="14592" width="9" style="83"/>
    <col min="14593" max="14593" width="28.109375" style="83" customWidth="1"/>
    <col min="14594" max="14594" width="10" style="83" customWidth="1"/>
    <col min="14595" max="14595" width="14.33203125" style="83" customWidth="1"/>
    <col min="14596" max="14596" width="8" style="83" customWidth="1"/>
    <col min="14597" max="14597" width="38" style="83" customWidth="1"/>
    <col min="14598" max="14598" width="48.109375" style="83" customWidth="1"/>
    <col min="14599" max="14848" width="9" style="83"/>
    <col min="14849" max="14849" width="28.109375" style="83" customWidth="1"/>
    <col min="14850" max="14850" width="10" style="83" customWidth="1"/>
    <col min="14851" max="14851" width="14.33203125" style="83" customWidth="1"/>
    <col min="14852" max="14852" width="8" style="83" customWidth="1"/>
    <col min="14853" max="14853" width="38" style="83" customWidth="1"/>
    <col min="14854" max="14854" width="48.109375" style="83" customWidth="1"/>
    <col min="14855" max="15104" width="9" style="83"/>
    <col min="15105" max="15105" width="28.109375" style="83" customWidth="1"/>
    <col min="15106" max="15106" width="10" style="83" customWidth="1"/>
    <col min="15107" max="15107" width="14.33203125" style="83" customWidth="1"/>
    <col min="15108" max="15108" width="8" style="83" customWidth="1"/>
    <col min="15109" max="15109" width="38" style="83" customWidth="1"/>
    <col min="15110" max="15110" width="48.109375" style="83" customWidth="1"/>
    <col min="15111" max="15360" width="9" style="83"/>
    <col min="15361" max="15361" width="28.109375" style="83" customWidth="1"/>
    <col min="15362" max="15362" width="10" style="83" customWidth="1"/>
    <col min="15363" max="15363" width="14.33203125" style="83" customWidth="1"/>
    <col min="15364" max="15364" width="8" style="83" customWidth="1"/>
    <col min="15365" max="15365" width="38" style="83" customWidth="1"/>
    <col min="15366" max="15366" width="48.109375" style="83" customWidth="1"/>
    <col min="15367" max="15616" width="9" style="83"/>
    <col min="15617" max="15617" width="28.109375" style="83" customWidth="1"/>
    <col min="15618" max="15618" width="10" style="83" customWidth="1"/>
    <col min="15619" max="15619" width="14.33203125" style="83" customWidth="1"/>
    <col min="15620" max="15620" width="8" style="83" customWidth="1"/>
    <col min="15621" max="15621" width="38" style="83" customWidth="1"/>
    <col min="15622" max="15622" width="48.109375" style="83" customWidth="1"/>
    <col min="15623" max="15872" width="9" style="83"/>
    <col min="15873" max="15873" width="28.109375" style="83" customWidth="1"/>
    <col min="15874" max="15874" width="10" style="83" customWidth="1"/>
    <col min="15875" max="15875" width="14.33203125" style="83" customWidth="1"/>
    <col min="15876" max="15876" width="8" style="83" customWidth="1"/>
    <col min="15877" max="15877" width="38" style="83" customWidth="1"/>
    <col min="15878" max="15878" width="48.109375" style="83" customWidth="1"/>
    <col min="15879" max="16128" width="9" style="83"/>
    <col min="16129" max="16129" width="28.109375" style="83" customWidth="1"/>
    <col min="16130" max="16130" width="10" style="83" customWidth="1"/>
    <col min="16131" max="16131" width="14.33203125" style="83" customWidth="1"/>
    <col min="16132" max="16132" width="8" style="83" customWidth="1"/>
    <col min="16133" max="16133" width="38" style="83" customWidth="1"/>
    <col min="16134" max="16134" width="48.109375" style="83" customWidth="1"/>
    <col min="16135" max="16384" width="9" style="83"/>
  </cols>
  <sheetData>
    <row r="2" spans="1:6" s="80" customFormat="1" ht="75.75" customHeight="1">
      <c r="A2" s="79"/>
      <c r="B2" s="98" t="s">
        <v>47</v>
      </c>
      <c r="C2" s="98"/>
      <c r="D2" s="98"/>
      <c r="E2" s="98"/>
      <c r="F2" s="98"/>
    </row>
    <row r="3" spans="1:6">
      <c r="A3" s="81"/>
      <c r="B3" s="82"/>
      <c r="E3" s="84"/>
    </row>
    <row r="4" spans="1:6" ht="27" customHeight="1">
      <c r="A4" s="85" t="s">
        <v>0</v>
      </c>
      <c r="B4" s="138" t="s">
        <v>1358</v>
      </c>
      <c r="C4" s="139"/>
      <c r="D4" s="140"/>
      <c r="E4" s="85" t="s">
        <v>1</v>
      </c>
      <c r="F4" s="86" t="s">
        <v>58</v>
      </c>
    </row>
    <row r="5" spans="1:6" ht="14.25" customHeight="1">
      <c r="A5" s="85" t="s">
        <v>2</v>
      </c>
      <c r="B5" s="120" t="s">
        <v>1359</v>
      </c>
      <c r="C5" s="120"/>
      <c r="D5" s="120"/>
      <c r="E5" s="85" t="s">
        <v>5</v>
      </c>
      <c r="F5" s="124" t="s">
        <v>472</v>
      </c>
    </row>
    <row r="6" spans="1:6" ht="15.75" customHeight="1">
      <c r="A6" s="87" t="s">
        <v>4</v>
      </c>
      <c r="B6" s="121" t="str">
        <f>B5&amp;"_"&amp;"Test Report"&amp;"_"&amp;"v1.0"</f>
        <v>SU26SE093_Test Report_v1.0</v>
      </c>
      <c r="C6" s="122"/>
      <c r="D6" s="123"/>
      <c r="E6" s="85" t="s">
        <v>6</v>
      </c>
      <c r="F6" s="125" t="s">
        <v>1360</v>
      </c>
    </row>
    <row r="7" spans="1:6">
      <c r="A7" s="88"/>
      <c r="B7" s="89"/>
      <c r="E7" s="90"/>
      <c r="F7" s="82"/>
    </row>
    <row r="8" spans="1:6">
      <c r="A8" s="83"/>
    </row>
    <row r="9" spans="1:6">
      <c r="A9" s="91" t="s">
        <v>7</v>
      </c>
    </row>
    <row r="10" spans="1:6" s="95" customFormat="1">
      <c r="A10" s="92" t="s">
        <v>8</v>
      </c>
      <c r="B10" s="93" t="s">
        <v>6</v>
      </c>
      <c r="C10" s="93" t="s">
        <v>9</v>
      </c>
      <c r="D10" s="93" t="s">
        <v>10</v>
      </c>
      <c r="E10" s="93" t="s">
        <v>11</v>
      </c>
      <c r="F10" s="94" t="s">
        <v>12</v>
      </c>
    </row>
    <row r="11" spans="1:6" s="96" customFormat="1" ht="19.2" customHeight="1">
      <c r="A11" s="133" t="s">
        <v>57</v>
      </c>
      <c r="B11" s="134" t="s">
        <v>1361</v>
      </c>
      <c r="C11" s="127" t="s">
        <v>1362</v>
      </c>
      <c r="D11" s="136" t="s">
        <v>1363</v>
      </c>
      <c r="E11" s="128" t="s">
        <v>1364</v>
      </c>
      <c r="F11" s="126" t="s">
        <v>1365</v>
      </c>
    </row>
    <row r="12" spans="1:6" s="96" customFormat="1" ht="72" customHeight="1">
      <c r="A12" s="133" t="s">
        <v>57</v>
      </c>
      <c r="B12" s="134" t="s">
        <v>1366</v>
      </c>
      <c r="C12" s="127" t="s">
        <v>1367</v>
      </c>
      <c r="D12" s="136" t="s">
        <v>1363</v>
      </c>
      <c r="E12" s="127" t="s">
        <v>1368</v>
      </c>
      <c r="F12" s="126" t="s">
        <v>1365</v>
      </c>
    </row>
    <row r="13" spans="1:6" s="96" customFormat="1" ht="124.8" customHeight="1">
      <c r="A13" s="133" t="s">
        <v>472</v>
      </c>
      <c r="B13" s="134" t="s">
        <v>1369</v>
      </c>
      <c r="C13" s="127" t="s">
        <v>1370</v>
      </c>
      <c r="D13" s="136" t="s">
        <v>1363</v>
      </c>
      <c r="E13" s="127" t="s">
        <v>1371</v>
      </c>
      <c r="F13" s="126" t="s">
        <v>1365</v>
      </c>
    </row>
    <row r="14" spans="1:6" s="96" customFormat="1" ht="21.75" customHeight="1">
      <c r="A14" s="129"/>
      <c r="B14" s="134"/>
      <c r="C14" s="127"/>
      <c r="D14" s="136"/>
      <c r="E14" s="127"/>
      <c r="F14" s="126"/>
    </row>
    <row r="15" spans="1:6" s="96" customFormat="1" ht="19.5" customHeight="1">
      <c r="A15" s="129"/>
      <c r="B15" s="134"/>
      <c r="C15" s="127"/>
      <c r="D15" s="136"/>
      <c r="E15" s="127"/>
      <c r="F15" s="126"/>
    </row>
    <row r="16" spans="1:6" s="96" customFormat="1" ht="21.75" customHeight="1">
      <c r="A16" s="129"/>
      <c r="B16" s="134"/>
      <c r="C16" s="127"/>
      <c r="D16" s="136"/>
      <c r="E16" s="127"/>
      <c r="F16" s="126"/>
    </row>
    <row r="17" spans="1:6" s="96" customFormat="1" ht="19.5" customHeight="1">
      <c r="A17" s="130"/>
      <c r="B17" s="135"/>
      <c r="C17" s="131"/>
      <c r="D17" s="137"/>
      <c r="E17" s="131"/>
      <c r="F17" s="132"/>
    </row>
  </sheetData>
  <mergeCells count="4">
    <mergeCell ref="B2:F2"/>
    <mergeCell ref="B4:D4"/>
    <mergeCell ref="B5:D5"/>
    <mergeCell ref="B6:D6"/>
  </mergeCells>
  <pageMargins left="0.47013888888888888" right="0.47013888888888888" top="0.5" bottom="0.35138888888888886" header="0.51180555555555562" footer="0.1701388888888889"/>
  <pageSetup paperSize="9" firstPageNumber="0" orientation="landscape" horizontalDpi="300" verticalDpi="300"/>
  <headerFooter alignWithMargins="0">
    <oddFooter>&amp;L&amp;"Tahoma,Regular"&amp;8 02ae-BM/PM/HDCV/FSOFT v2/1&amp;C&amp;"Tahoma,Regular"&amp;8Internal use&amp;R&amp;"tahomaTahoma,Regular"&amp;8&amp;P/&amp;N</oddFooter>
  </headerFooter>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27"/>
  <sheetViews>
    <sheetView workbookViewId="0"/>
  </sheetViews>
  <sheetFormatPr defaultColWidth="9" defaultRowHeight="13.2"/>
  <cols>
    <col min="1" max="1" width="1.33203125" style="1" customWidth="1"/>
    <col min="2" max="2" width="11.77734375" style="3" customWidth="1"/>
    <col min="3" max="4" width="30.77734375" style="4" customWidth="1"/>
    <col min="5" max="5" width="60.77734375" style="4" customWidth="1"/>
    <col min="6" max="6" width="34.77734375" style="4" customWidth="1"/>
    <col min="7" max="16384" width="9" style="1"/>
  </cols>
  <sheetData>
    <row r="1" spans="2:6" ht="24.6">
      <c r="B1" s="5"/>
      <c r="D1" s="6" t="s">
        <v>13</v>
      </c>
      <c r="E1" s="7"/>
    </row>
    <row r="2" spans="2:6" ht="13.5" customHeight="1">
      <c r="B2" s="5"/>
      <c r="D2" s="8"/>
      <c r="E2" s="8"/>
    </row>
    <row r="3" spans="2:6">
      <c r="B3" s="101" t="s">
        <v>0</v>
      </c>
      <c r="C3" s="101"/>
      <c r="D3" s="141" t="s">
        <v>1358</v>
      </c>
      <c r="E3" s="102"/>
      <c r="F3" s="102"/>
    </row>
    <row r="4" spans="2:6">
      <c r="B4" s="101" t="s">
        <v>2</v>
      </c>
      <c r="C4" s="101"/>
      <c r="D4" s="141" t="s">
        <v>1359</v>
      </c>
      <c r="E4" s="102"/>
      <c r="F4" s="102"/>
    </row>
    <row r="5" spans="2:6" s="9" customFormat="1" ht="109.95" customHeight="1">
      <c r="B5" s="99" t="s">
        <v>14</v>
      </c>
      <c r="C5" s="99"/>
      <c r="D5" s="142" t="s">
        <v>1372</v>
      </c>
      <c r="E5" s="100"/>
      <c r="F5" s="100"/>
    </row>
    <row r="6" spans="2:6">
      <c r="B6" s="10"/>
      <c r="C6" s="1"/>
      <c r="D6" s="1"/>
      <c r="E6" s="1"/>
      <c r="F6" s="1"/>
    </row>
    <row r="7" spans="2:6" s="11" customFormat="1">
      <c r="B7" s="12"/>
      <c r="C7" s="13"/>
      <c r="D7" s="13"/>
      <c r="E7" s="13"/>
      <c r="F7" s="13"/>
    </row>
    <row r="8" spans="2:6" s="14" customFormat="1" ht="21" customHeight="1">
      <c r="B8" s="15" t="s">
        <v>15</v>
      </c>
      <c r="C8" s="16" t="s">
        <v>16</v>
      </c>
      <c r="D8" s="16" t="s">
        <v>17</v>
      </c>
      <c r="E8" s="17" t="s">
        <v>18</v>
      </c>
      <c r="F8" s="18" t="s">
        <v>19</v>
      </c>
    </row>
    <row r="9" spans="2:6" ht="32.4" customHeight="1">
      <c r="B9" s="149">
        <v>1</v>
      </c>
      <c r="C9" s="143" t="s">
        <v>48</v>
      </c>
      <c r="D9" s="147" t="s">
        <v>48</v>
      </c>
      <c r="E9" s="144" t="s">
        <v>49</v>
      </c>
      <c r="F9" s="145" t="s">
        <v>1373</v>
      </c>
    </row>
    <row r="10" spans="2:6" ht="32.4" customHeight="1">
      <c r="B10" s="149">
        <v>2</v>
      </c>
      <c r="C10" s="143" t="s">
        <v>212</v>
      </c>
      <c r="D10" s="147" t="s">
        <v>212</v>
      </c>
      <c r="E10" s="144" t="s">
        <v>213</v>
      </c>
      <c r="F10" s="145" t="s">
        <v>1373</v>
      </c>
    </row>
    <row r="11" spans="2:6" ht="32.4" customHeight="1">
      <c r="B11" s="149">
        <v>3</v>
      </c>
      <c r="C11" s="143" t="s">
        <v>268</v>
      </c>
      <c r="D11" s="147" t="s">
        <v>268</v>
      </c>
      <c r="E11" s="144" t="s">
        <v>269</v>
      </c>
      <c r="F11" s="145" t="s">
        <v>1373</v>
      </c>
    </row>
    <row r="12" spans="2:6" ht="32.4" customHeight="1">
      <c r="B12" s="149">
        <v>4</v>
      </c>
      <c r="C12" s="143" t="s">
        <v>299</v>
      </c>
      <c r="D12" s="147" t="s">
        <v>299</v>
      </c>
      <c r="E12" s="144" t="s">
        <v>300</v>
      </c>
      <c r="F12" s="145" t="s">
        <v>1373</v>
      </c>
    </row>
    <row r="13" spans="2:6" ht="45.6" customHeight="1">
      <c r="B13" s="149">
        <v>5</v>
      </c>
      <c r="C13" s="143" t="s">
        <v>311</v>
      </c>
      <c r="D13" s="147" t="s">
        <v>311</v>
      </c>
      <c r="E13" s="144" t="s">
        <v>312</v>
      </c>
      <c r="F13" s="145" t="s">
        <v>1373</v>
      </c>
    </row>
    <row r="14" spans="2:6" ht="32.4" customHeight="1">
      <c r="B14" s="149">
        <v>6</v>
      </c>
      <c r="C14" s="143" t="s">
        <v>380</v>
      </c>
      <c r="D14" s="148" t="s">
        <v>1374</v>
      </c>
      <c r="E14" s="146" t="s">
        <v>381</v>
      </c>
      <c r="F14" s="145" t="s">
        <v>1373</v>
      </c>
    </row>
    <row r="15" spans="2:6" ht="32.4" customHeight="1">
      <c r="B15" s="149">
        <v>7</v>
      </c>
      <c r="C15" s="143" t="s">
        <v>465</v>
      </c>
      <c r="D15" s="148" t="s">
        <v>465</v>
      </c>
      <c r="E15" s="146" t="s">
        <v>466</v>
      </c>
      <c r="F15" s="145" t="s">
        <v>1373</v>
      </c>
    </row>
    <row r="16" spans="2:6" ht="32.4" customHeight="1">
      <c r="B16" s="149">
        <v>8</v>
      </c>
      <c r="C16" s="143" t="s">
        <v>565</v>
      </c>
      <c r="D16" s="148" t="s">
        <v>565</v>
      </c>
      <c r="E16" s="146" t="s">
        <v>566</v>
      </c>
      <c r="F16" s="145" t="s">
        <v>1373</v>
      </c>
    </row>
    <row r="17" spans="2:6" ht="32.4" customHeight="1">
      <c r="B17" s="149">
        <v>9</v>
      </c>
      <c r="C17" s="143" t="s">
        <v>627</v>
      </c>
      <c r="D17" s="148" t="s">
        <v>627</v>
      </c>
      <c r="E17" s="146" t="s">
        <v>628</v>
      </c>
      <c r="F17" s="145" t="s">
        <v>1373</v>
      </c>
    </row>
    <row r="18" spans="2:6" ht="32.4" customHeight="1">
      <c r="B18" s="149">
        <v>10</v>
      </c>
      <c r="C18" s="143" t="s">
        <v>716</v>
      </c>
      <c r="D18" s="148" t="s">
        <v>716</v>
      </c>
      <c r="E18" s="146" t="s">
        <v>717</v>
      </c>
      <c r="F18" s="145" t="s">
        <v>1373</v>
      </c>
    </row>
    <row r="19" spans="2:6" ht="32.4" customHeight="1">
      <c r="B19" s="149">
        <v>11</v>
      </c>
      <c r="C19" s="143" t="s">
        <v>790</v>
      </c>
      <c r="D19" s="148" t="s">
        <v>790</v>
      </c>
      <c r="E19" s="146" t="s">
        <v>791</v>
      </c>
      <c r="F19" s="145" t="s">
        <v>1373</v>
      </c>
    </row>
    <row r="20" spans="2:6" ht="45.6" customHeight="1">
      <c r="B20" s="149">
        <v>12</v>
      </c>
      <c r="C20" s="143" t="s">
        <v>867</v>
      </c>
      <c r="D20" s="148" t="s">
        <v>867</v>
      </c>
      <c r="E20" s="146" t="s">
        <v>868</v>
      </c>
      <c r="F20" s="145" t="s">
        <v>1373</v>
      </c>
    </row>
    <row r="21" spans="2:6" ht="32.4" customHeight="1">
      <c r="B21" s="149">
        <v>13</v>
      </c>
      <c r="C21" s="143" t="s">
        <v>950</v>
      </c>
      <c r="D21" s="148" t="s">
        <v>950</v>
      </c>
      <c r="E21" s="146" t="s">
        <v>951</v>
      </c>
      <c r="F21" s="145" t="s">
        <v>1373</v>
      </c>
    </row>
    <row r="22" spans="2:6" ht="32.4" customHeight="1">
      <c r="B22" s="149">
        <v>14</v>
      </c>
      <c r="C22" s="143" t="s">
        <v>1012</v>
      </c>
      <c r="D22" s="148" t="s">
        <v>1012</v>
      </c>
      <c r="E22" s="146" t="s">
        <v>1013</v>
      </c>
      <c r="F22" s="145" t="s">
        <v>1373</v>
      </c>
    </row>
    <row r="23" spans="2:6" ht="32.4" customHeight="1">
      <c r="B23" s="149">
        <v>15</v>
      </c>
      <c r="C23" s="143" t="s">
        <v>1069</v>
      </c>
      <c r="D23" s="148" t="s">
        <v>1069</v>
      </c>
      <c r="E23" s="146" t="s">
        <v>1070</v>
      </c>
      <c r="F23" s="145" t="s">
        <v>1373</v>
      </c>
    </row>
    <row r="24" spans="2:6" ht="45.6" customHeight="1">
      <c r="B24" s="149">
        <v>16</v>
      </c>
      <c r="C24" s="143" t="s">
        <v>1130</v>
      </c>
      <c r="D24" s="148" t="s">
        <v>1130</v>
      </c>
      <c r="E24" s="146" t="s">
        <v>1131</v>
      </c>
      <c r="F24" s="145" t="s">
        <v>1373</v>
      </c>
    </row>
    <row r="25" spans="2:6" ht="32.4" customHeight="1">
      <c r="B25" s="149">
        <v>17</v>
      </c>
      <c r="C25" s="143" t="s">
        <v>1182</v>
      </c>
      <c r="D25" s="148" t="s">
        <v>1182</v>
      </c>
      <c r="E25" s="146" t="s">
        <v>1183</v>
      </c>
      <c r="F25" s="145" t="s">
        <v>1373</v>
      </c>
    </row>
    <row r="26" spans="2:6" ht="32.4" customHeight="1">
      <c r="B26" s="149">
        <v>18</v>
      </c>
      <c r="C26" s="143" t="s">
        <v>1236</v>
      </c>
      <c r="D26" s="148" t="s">
        <v>1236</v>
      </c>
      <c r="E26" s="146" t="s">
        <v>1237</v>
      </c>
      <c r="F26" s="145" t="s">
        <v>1373</v>
      </c>
    </row>
    <row r="27" spans="2:6">
      <c r="B27" s="19"/>
      <c r="C27" s="20"/>
      <c r="D27" s="21"/>
      <c r="E27" s="21"/>
      <c r="F27" s="22"/>
    </row>
  </sheetData>
  <mergeCells count="6">
    <mergeCell ref="B5:C5"/>
    <mergeCell ref="D5:F5"/>
    <mergeCell ref="B3:C3"/>
    <mergeCell ref="D3:F3"/>
    <mergeCell ref="B4:C4"/>
    <mergeCell ref="D4:F4"/>
  </mergeCells>
  <phoneticPr fontId="0" type="noConversion"/>
  <hyperlinks>
    <hyperlink ref="D9" location="'Authentication'!A1" display="'Authentication'!A1" xr:uid="{3B53A843-8682-4E30-8719-F82C8B796BDB}"/>
    <hyperlink ref="D10" location="'Cart and Checkout'!A1" display="'Cart and Checkout'!A1" xr:uid="{A29CAB4C-EE41-4CC0-A8C0-7B54E88A65CC}"/>
    <hyperlink ref="D11" location="'Payment and Cancellation'!A1" display="'Payment and Cancellation'!A1" xr:uid="{9125E7C5-01CF-4D03-AF9C-1AEDCFECBB2D}"/>
    <hyperlink ref="D12" location="'Delivery'!A1" display="'Delivery'!A1" xr:uid="{B650B0CB-5F30-4FF4-BF73-19184959C5BD}"/>
    <hyperlink ref="D13" location="'Returns Refunds and Exchanges'!A1" display="'Returns Refunds and Exchanges'!A1" xr:uid="{3229D7E4-431A-403B-A92D-635C45AB37AC}"/>
    <hyperlink ref="D14" location="'API Authorization and Robustnes'!A1" display="'API Authorization and Robustnes'!A1" xr:uid="{E4320333-B472-47F4-8915-623EC8FBBDF7}"/>
    <hyperlink ref="D15" location="'Catalog'!A1" display="'Catalog'!A1" xr:uid="{CE33BE8B-878F-4160-A439-F9AE8B912DBC}"/>
    <hyperlink ref="D16" location="'3D Model Queue'!A1" display="'3D Model Queue'!A1" xr:uid="{46018F27-8BA7-42A8-B6B0-8010485CE008}"/>
    <hyperlink ref="D17" location="'Store and Staff'!A1" display="'Store and Staff'!A1" xr:uid="{CD45561D-BD45-4F78-BD1E-2FC4990678EE}"/>
    <hyperlink ref="D18" location="'User Administration'!A1" display="'User Administration'!A1" xr:uid="{BBE95261-544B-49ED-AFDA-DF2195E23192}"/>
    <hyperlink ref="D19" location="'Scoring Configuration'!A1" display="'Scoring Configuration'!A1" xr:uid="{1A505F94-3903-4471-8EFC-715F9844A69E}"/>
    <hyperlink ref="D20" location="'Workspace Profile'!A1" display="'Workspace Profile'!A1" xr:uid="{177F64E1-E17D-4A98-AC3F-BA8DC84F7180}"/>
    <hyperlink ref="D21" location="'Recommendation and Review'!A1" display="'Recommendation and Review'!A1" xr:uid="{E6468DAF-176A-479C-8A85-05939673D2D1}"/>
    <hyperlink ref="D22" location="'Shipping and Notification'!A1" display="'Shipping and Notification'!A1" xr:uid="{531D0168-4C36-4869-8EEB-DF729B3ADFB9}"/>
    <hyperlink ref="D23" location="'Address and Taxonomy'!A1" display="'Address and Taxonomy'!A1" xr:uid="{C77532C9-9A72-4408-9890-D22387F8F551}"/>
    <hyperlink ref="D24" location="'SLA and Refund Pipeline'!A1" display="'SLA and Refund Pipeline'!A1" xr:uid="{036B9114-EAF0-467A-ADC9-6CB90B5B80E5}"/>
    <hyperlink ref="D25" location="'Vendor Liability'!A1" display="'Vendor Liability'!A1" xr:uid="{A5A423DD-4AE8-43AD-BC41-CF65EE638F68}"/>
    <hyperlink ref="D26" location="'Defect Probes'!A1" display="'Defect Probes'!A1" xr:uid="{2F69A545-3D69-4B00-85B1-A055C35128A6}"/>
  </hyperlinks>
  <pageMargins left="0.74791666666666667" right="0.74791666666666667" top="0.98402777777777783" bottom="1.1506944444444445" header="0.51180555555555562" footer="0.98402777777777783"/>
  <pageSetup paperSize="9" firstPageNumber="0" orientation="landscape" horizontalDpi="300" verticalDpi="300" r:id="rId1"/>
  <headerFooter alignWithMargins="0">
    <oddFooter>&amp;L&amp;"Tahoma,Regular"&amp;8 02ae-BM/PM/HDCV/FSOFT v2/0&amp;C&amp;"tahoma,Regular"&amp;8Internal use&amp;R&amp;"tahoma,Regular"&amp;8&amp;P/&amp;N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2"/>
  <sheetViews>
    <sheetView workbookViewId="0"/>
  </sheetViews>
  <sheetFormatPr defaultColWidth="9" defaultRowHeight="13.2"/>
  <cols>
    <col min="1" max="1" width="4.44140625" style="1" customWidth="1"/>
    <col min="2" max="2" width="18.33203125" style="1" customWidth="1"/>
    <col min="3" max="3" width="32.77734375" style="1" customWidth="1"/>
    <col min="4" max="6" width="11.6640625" style="1" customWidth="1"/>
    <col min="7" max="7" width="9" style="1"/>
    <col min="8" max="8" width="35.44140625" style="1" customWidth="1"/>
    <col min="9" max="9" width="33.109375" style="1" customWidth="1"/>
    <col min="10" max="16384" width="9" style="1"/>
  </cols>
  <sheetData>
    <row r="1" spans="1:8" ht="25.5" customHeight="1">
      <c r="B1" s="104" t="s">
        <v>46</v>
      </c>
      <c r="C1" s="104"/>
      <c r="D1" s="104"/>
      <c r="E1" s="104"/>
      <c r="F1" s="104"/>
      <c r="G1" s="104"/>
      <c r="H1" s="104"/>
    </row>
    <row r="2" spans="1:8" ht="14.25" customHeight="1">
      <c r="A2" s="34"/>
      <c r="B2" s="34"/>
      <c r="C2" s="35"/>
      <c r="D2" s="35"/>
      <c r="E2" s="35"/>
      <c r="F2" s="35"/>
      <c r="G2" s="35"/>
      <c r="H2" s="36"/>
    </row>
    <row r="3" spans="1:8" ht="27" customHeight="1">
      <c r="B3" s="2" t="s">
        <v>0</v>
      </c>
      <c r="C3" s="155" t="s">
        <v>1358</v>
      </c>
      <c r="D3" s="156"/>
      <c r="E3" s="103" t="s">
        <v>1</v>
      </c>
      <c r="F3" s="103"/>
      <c r="G3" s="37"/>
      <c r="H3" s="150" t="s">
        <v>58</v>
      </c>
    </row>
    <row r="4" spans="1:8" ht="13.95" customHeight="1">
      <c r="B4" s="2" t="s">
        <v>2</v>
      </c>
      <c r="C4" s="141" t="s">
        <v>1359</v>
      </c>
      <c r="D4" s="102"/>
      <c r="E4" s="103" t="s">
        <v>3</v>
      </c>
      <c r="F4" s="103"/>
      <c r="G4" s="37"/>
      <c r="H4" s="150"/>
    </row>
    <row r="5" spans="1:8" ht="13.95" customHeight="1">
      <c r="B5" s="38" t="s">
        <v>4</v>
      </c>
      <c r="C5" s="141" t="str">
        <f>C4&amp;"_"&amp;"Test Report"&amp;"_"&amp;"v1.0"</f>
        <v>SU26SE093_Test Report_v1.0</v>
      </c>
      <c r="D5" s="102"/>
      <c r="E5" s="103" t="s">
        <v>5</v>
      </c>
      <c r="F5" s="103"/>
      <c r="G5" s="37"/>
      <c r="H5" s="151" t="s">
        <v>472</v>
      </c>
    </row>
    <row r="6" spans="1:8" ht="58.05" customHeight="1">
      <c r="A6" s="34"/>
      <c r="B6" s="38" t="s">
        <v>26</v>
      </c>
      <c r="C6" s="152" t="s">
        <v>1375</v>
      </c>
      <c r="D6" s="153"/>
      <c r="E6" s="153"/>
      <c r="F6" s="153"/>
      <c r="G6" s="153"/>
      <c r="H6" s="154"/>
    </row>
    <row r="7" spans="1:8" ht="14.25" customHeight="1">
      <c r="A7" s="34"/>
      <c r="B7" s="39"/>
      <c r="C7" s="40"/>
      <c r="D7" s="35"/>
      <c r="E7" s="35"/>
      <c r="F7" s="35"/>
      <c r="G7" s="35"/>
      <c r="H7" s="36"/>
    </row>
    <row r="8" spans="1:8">
      <c r="B8" s="39"/>
      <c r="C8" s="40"/>
      <c r="D8" s="35"/>
      <c r="E8" s="35"/>
      <c r="F8" s="35"/>
      <c r="G8" s="35"/>
      <c r="H8" s="36"/>
    </row>
    <row r="10" spans="1:8">
      <c r="A10" s="41"/>
      <c r="B10" s="42" t="s">
        <v>15</v>
      </c>
      <c r="C10" s="43" t="s">
        <v>27</v>
      </c>
      <c r="D10" s="44" t="s">
        <v>37</v>
      </c>
      <c r="E10" s="43" t="s">
        <v>38</v>
      </c>
      <c r="F10" s="43" t="s">
        <v>36</v>
      </c>
      <c r="G10" s="45" t="s">
        <v>22</v>
      </c>
      <c r="H10" s="46" t="s">
        <v>28</v>
      </c>
    </row>
    <row r="11" spans="1:8">
      <c r="A11" s="41"/>
      <c r="B11" s="47">
        <v>1</v>
      </c>
      <c r="C11" s="48" t="str">
        <f>Authentication!B2</f>
        <v>Authentication</v>
      </c>
      <c r="D11" s="49">
        <f>Authentication!B6</f>
        <v>33</v>
      </c>
      <c r="E11" s="49">
        <f>Authentication!C6</f>
        <v>0</v>
      </c>
      <c r="F11" s="49">
        <f>Authentication!D6</f>
        <v>0</v>
      </c>
      <c r="G11" s="49">
        <f>Authentication!E6</f>
        <v>0</v>
      </c>
      <c r="H11" s="51">
        <f>Authentication!B4</f>
        <v>33</v>
      </c>
    </row>
    <row r="12" spans="1:8">
      <c r="A12" s="41"/>
      <c r="B12" s="47">
        <v>2</v>
      </c>
      <c r="C12" s="48" t="str">
        <f>'Cart and Checkout'!B2</f>
        <v>Cart and Checkout</v>
      </c>
      <c r="D12" s="49">
        <f>'Cart and Checkout'!B6</f>
        <v>11</v>
      </c>
      <c r="E12" s="49">
        <f>'Cart and Checkout'!C6</f>
        <v>0</v>
      </c>
      <c r="F12" s="49">
        <f>'Cart and Checkout'!D6</f>
        <v>0</v>
      </c>
      <c r="G12" s="49">
        <f>'Cart and Checkout'!E6</f>
        <v>0</v>
      </c>
      <c r="H12" s="49">
        <f>'Cart and Checkout'!B4</f>
        <v>11</v>
      </c>
    </row>
    <row r="13" spans="1:8">
      <c r="A13" s="41"/>
      <c r="B13" s="47">
        <v>3</v>
      </c>
      <c r="C13" s="48" t="str">
        <f>'Payment and Cancellation'!B2</f>
        <v>Payment and Cancellation</v>
      </c>
      <c r="D13" s="49">
        <f>'Payment and Cancellation'!B6</f>
        <v>6</v>
      </c>
      <c r="E13" s="49">
        <f>'Payment and Cancellation'!C6</f>
        <v>0</v>
      </c>
      <c r="F13" s="49">
        <f>'Payment and Cancellation'!D6</f>
        <v>0</v>
      </c>
      <c r="G13" s="49">
        <f>'Payment and Cancellation'!E6</f>
        <v>0</v>
      </c>
      <c r="H13" s="49">
        <f>'Payment and Cancellation'!B4</f>
        <v>6</v>
      </c>
    </row>
    <row r="14" spans="1:8">
      <c r="A14" s="41"/>
      <c r="B14" s="47">
        <v>4</v>
      </c>
      <c r="C14" s="48" t="str">
        <f>Delivery!B2</f>
        <v>Delivery</v>
      </c>
      <c r="D14" s="49">
        <f>Delivery!B6</f>
        <v>2</v>
      </c>
      <c r="E14" s="49">
        <f>Delivery!C6</f>
        <v>0</v>
      </c>
      <c r="F14" s="49">
        <f>Delivery!D6</f>
        <v>0</v>
      </c>
      <c r="G14" s="49">
        <f>Delivery!E6</f>
        <v>0</v>
      </c>
      <c r="H14" s="49">
        <f>Delivery!B4</f>
        <v>2</v>
      </c>
    </row>
    <row r="15" spans="1:8">
      <c r="A15" s="41"/>
      <c r="B15" s="47">
        <v>5</v>
      </c>
      <c r="C15" s="48" t="str">
        <f>'Returns Refunds and Exchanges'!B2</f>
        <v>Returns Refunds and Exchanges</v>
      </c>
      <c r="D15" s="49">
        <f>'Returns Refunds and Exchanges'!B6</f>
        <v>15</v>
      </c>
      <c r="E15" s="49">
        <f>'Returns Refunds and Exchanges'!C6</f>
        <v>0</v>
      </c>
      <c r="F15" s="49">
        <f>'Returns Refunds and Exchanges'!D6</f>
        <v>0</v>
      </c>
      <c r="G15" s="49">
        <f>'Returns Refunds and Exchanges'!E6</f>
        <v>0</v>
      </c>
      <c r="H15" s="49">
        <f>'Returns Refunds and Exchanges'!B4</f>
        <v>15</v>
      </c>
    </row>
    <row r="16" spans="1:8">
      <c r="A16" s="41"/>
      <c r="B16" s="47">
        <v>6</v>
      </c>
      <c r="C16" s="48" t="str">
        <f>'API Authorization and Robustnes'!B2</f>
        <v>API Authorization and Robustness</v>
      </c>
      <c r="D16" s="49">
        <f>'API Authorization and Robustnes'!B6</f>
        <v>21</v>
      </c>
      <c r="E16" s="49">
        <f>'API Authorization and Robustnes'!C6</f>
        <v>0</v>
      </c>
      <c r="F16" s="49">
        <f>'API Authorization and Robustnes'!D6</f>
        <v>0</v>
      </c>
      <c r="G16" s="49">
        <f>'API Authorization and Robustnes'!E6</f>
        <v>0</v>
      </c>
      <c r="H16" s="49">
        <f>'API Authorization and Robustnes'!B4</f>
        <v>21</v>
      </c>
    </row>
    <row r="17" spans="1:8">
      <c r="A17" s="41"/>
      <c r="B17" s="47">
        <v>7</v>
      </c>
      <c r="C17" s="48" t="str">
        <f>Catalog!B2</f>
        <v>Catalog</v>
      </c>
      <c r="D17" s="49">
        <f>Catalog!B6</f>
        <v>31</v>
      </c>
      <c r="E17" s="49">
        <f>Catalog!C6</f>
        <v>0</v>
      </c>
      <c r="F17" s="49">
        <f>Catalog!D6</f>
        <v>0</v>
      </c>
      <c r="G17" s="49">
        <f>Catalog!E6</f>
        <v>0</v>
      </c>
      <c r="H17" s="49">
        <f>Catalog!B4</f>
        <v>31</v>
      </c>
    </row>
    <row r="18" spans="1:8">
      <c r="A18" s="41"/>
      <c r="B18" s="47">
        <v>8</v>
      </c>
      <c r="C18" s="48" t="str">
        <f>'3D Model Queue'!B2</f>
        <v>3D Model Queue</v>
      </c>
      <c r="D18" s="49">
        <f>'3D Model Queue'!B6</f>
        <v>21</v>
      </c>
      <c r="E18" s="49">
        <f>'3D Model Queue'!C6</f>
        <v>0</v>
      </c>
      <c r="F18" s="49">
        <f>'3D Model Queue'!D6</f>
        <v>0</v>
      </c>
      <c r="G18" s="49">
        <f>'3D Model Queue'!E6</f>
        <v>0</v>
      </c>
      <c r="H18" s="49">
        <f>'3D Model Queue'!B4</f>
        <v>21</v>
      </c>
    </row>
    <row r="19" spans="1:8">
      <c r="A19" s="41"/>
      <c r="B19" s="47">
        <v>9</v>
      </c>
      <c r="C19" s="48" t="str">
        <f>'Store and Staff'!B2</f>
        <v>Store and Staff</v>
      </c>
      <c r="D19" s="49">
        <f>'Store and Staff'!B6</f>
        <v>32</v>
      </c>
      <c r="E19" s="49">
        <f>'Store and Staff'!C6</f>
        <v>0</v>
      </c>
      <c r="F19" s="49">
        <f>'Store and Staff'!D6</f>
        <v>0</v>
      </c>
      <c r="G19" s="49">
        <f>'Store and Staff'!E6</f>
        <v>0</v>
      </c>
      <c r="H19" s="49">
        <f>'Store and Staff'!B4</f>
        <v>32</v>
      </c>
    </row>
    <row r="20" spans="1:8">
      <c r="A20" s="41"/>
      <c r="B20" s="47">
        <v>10</v>
      </c>
      <c r="C20" s="48" t="str">
        <f>'User Administration'!B2</f>
        <v>User Administration</v>
      </c>
      <c r="D20" s="49">
        <f>'User Administration'!B6</f>
        <v>27</v>
      </c>
      <c r="E20" s="49">
        <f>'User Administration'!C6</f>
        <v>0</v>
      </c>
      <c r="F20" s="49">
        <f>'User Administration'!D6</f>
        <v>0</v>
      </c>
      <c r="G20" s="49">
        <f>'User Administration'!E6</f>
        <v>0</v>
      </c>
      <c r="H20" s="49">
        <f>'User Administration'!B4</f>
        <v>27</v>
      </c>
    </row>
    <row r="21" spans="1:8">
      <c r="A21" s="41"/>
      <c r="B21" s="47">
        <v>11</v>
      </c>
      <c r="C21" s="48" t="str">
        <f>'Scoring Configuration'!B2</f>
        <v>Scoring Configuration</v>
      </c>
      <c r="D21" s="49">
        <f>'Scoring Configuration'!B6</f>
        <v>28</v>
      </c>
      <c r="E21" s="49">
        <f>'Scoring Configuration'!C6</f>
        <v>0</v>
      </c>
      <c r="F21" s="49">
        <f>'Scoring Configuration'!D6</f>
        <v>0</v>
      </c>
      <c r="G21" s="49">
        <f>'Scoring Configuration'!E6</f>
        <v>0</v>
      </c>
      <c r="H21" s="49">
        <f>'Scoring Configuration'!B4</f>
        <v>28</v>
      </c>
    </row>
    <row r="22" spans="1:8">
      <c r="A22" s="41"/>
      <c r="B22" s="47">
        <v>12</v>
      </c>
      <c r="C22" s="48" t="str">
        <f>'Workspace Profile'!B2</f>
        <v>Workspace Profile</v>
      </c>
      <c r="D22" s="49">
        <f>'Workspace Profile'!B6</f>
        <v>30</v>
      </c>
      <c r="E22" s="49">
        <f>'Workspace Profile'!C6</f>
        <v>0</v>
      </c>
      <c r="F22" s="49">
        <f>'Workspace Profile'!D6</f>
        <v>0</v>
      </c>
      <c r="G22" s="49">
        <f>'Workspace Profile'!E6</f>
        <v>0</v>
      </c>
      <c r="H22" s="49">
        <f>'Workspace Profile'!B4</f>
        <v>30</v>
      </c>
    </row>
    <row r="23" spans="1:8">
      <c r="A23" s="41"/>
      <c r="B23" s="47">
        <v>13</v>
      </c>
      <c r="C23" s="48" t="str">
        <f>'Recommendation and Review'!B2</f>
        <v>Recommendation and Review</v>
      </c>
      <c r="D23" s="49">
        <f>'Recommendation and Review'!B6</f>
        <v>22</v>
      </c>
      <c r="E23" s="49">
        <f>'Recommendation and Review'!C6</f>
        <v>0</v>
      </c>
      <c r="F23" s="49">
        <f>'Recommendation and Review'!D6</f>
        <v>0</v>
      </c>
      <c r="G23" s="49">
        <f>'Recommendation and Review'!E6</f>
        <v>0</v>
      </c>
      <c r="H23" s="49">
        <f>'Recommendation and Review'!B4</f>
        <v>22</v>
      </c>
    </row>
    <row r="24" spans="1:8">
      <c r="A24" s="41"/>
      <c r="B24" s="47">
        <v>14</v>
      </c>
      <c r="C24" s="48" t="str">
        <f>'Shipping and Notification'!B2</f>
        <v>Shipping and Notification</v>
      </c>
      <c r="D24" s="49">
        <f>'Shipping and Notification'!B6</f>
        <v>20</v>
      </c>
      <c r="E24" s="49">
        <f>'Shipping and Notification'!C6</f>
        <v>0</v>
      </c>
      <c r="F24" s="49">
        <f>'Shipping and Notification'!D6</f>
        <v>0</v>
      </c>
      <c r="G24" s="49">
        <f>'Shipping and Notification'!E6</f>
        <v>0</v>
      </c>
      <c r="H24" s="49">
        <f>'Shipping and Notification'!B4</f>
        <v>20</v>
      </c>
    </row>
    <row r="25" spans="1:8">
      <c r="A25" s="41"/>
      <c r="B25" s="47">
        <v>15</v>
      </c>
      <c r="C25" s="48" t="str">
        <f>'Address and Taxonomy'!B2</f>
        <v>Address and Taxonomy</v>
      </c>
      <c r="D25" s="49">
        <f>'Address and Taxonomy'!B6</f>
        <v>21</v>
      </c>
      <c r="E25" s="49">
        <f>'Address and Taxonomy'!C6</f>
        <v>0</v>
      </c>
      <c r="F25" s="49">
        <f>'Address and Taxonomy'!D6</f>
        <v>0</v>
      </c>
      <c r="G25" s="49">
        <f>'Address and Taxonomy'!E6</f>
        <v>0</v>
      </c>
      <c r="H25" s="49">
        <f>'Address and Taxonomy'!B4</f>
        <v>21</v>
      </c>
    </row>
    <row r="26" spans="1:8">
      <c r="A26" s="41"/>
      <c r="B26" s="47">
        <v>16</v>
      </c>
      <c r="C26" s="48" t="str">
        <f>'SLA and Refund Pipeline'!B2</f>
        <v>SLA and Refund Pipeline</v>
      </c>
      <c r="D26" s="49">
        <f>'SLA and Refund Pipeline'!B6</f>
        <v>16</v>
      </c>
      <c r="E26" s="49">
        <f>'SLA and Refund Pipeline'!C6</f>
        <v>0</v>
      </c>
      <c r="F26" s="49">
        <f>'SLA and Refund Pipeline'!D6</f>
        <v>0</v>
      </c>
      <c r="G26" s="49">
        <f>'SLA and Refund Pipeline'!E6</f>
        <v>0</v>
      </c>
      <c r="H26" s="49">
        <f>'SLA and Refund Pipeline'!B4</f>
        <v>16</v>
      </c>
    </row>
    <row r="27" spans="1:8">
      <c r="A27" s="41"/>
      <c r="B27" s="47">
        <v>17</v>
      </c>
      <c r="C27" s="48" t="str">
        <f>'Vendor Liability'!B2</f>
        <v>Vendor Liability</v>
      </c>
      <c r="D27" s="49">
        <f>'Vendor Liability'!B6</f>
        <v>20</v>
      </c>
      <c r="E27" s="49">
        <f>'Vendor Liability'!C6</f>
        <v>0</v>
      </c>
      <c r="F27" s="49">
        <f>'Vendor Liability'!D6</f>
        <v>0</v>
      </c>
      <c r="G27" s="49">
        <f>'Vendor Liability'!E6</f>
        <v>0</v>
      </c>
      <c r="H27" s="49">
        <f>'Vendor Liability'!B4</f>
        <v>20</v>
      </c>
    </row>
    <row r="28" spans="1:8">
      <c r="A28" s="41"/>
      <c r="B28" s="47">
        <v>18</v>
      </c>
      <c r="C28" s="48" t="str">
        <f>'Defect Probes'!B2</f>
        <v>Defect Probes</v>
      </c>
      <c r="D28" s="49">
        <f>'Defect Probes'!B6</f>
        <v>11</v>
      </c>
      <c r="E28" s="49">
        <f>'Defect Probes'!C6</f>
        <v>3</v>
      </c>
      <c r="F28" s="49">
        <f>'Defect Probes'!D6</f>
        <v>0</v>
      </c>
      <c r="G28" s="50">
        <f>'Defect Probes'!E6</f>
        <v>0</v>
      </c>
      <c r="H28" s="51">
        <f>'Defect Probes'!B4</f>
        <v>14</v>
      </c>
    </row>
    <row r="29" spans="1:8">
      <c r="A29" s="41"/>
      <c r="B29" s="52"/>
      <c r="C29" s="53" t="s">
        <v>29</v>
      </c>
      <c r="D29" s="54">
        <f>SUM(D11:D28)</f>
        <v>367</v>
      </c>
      <c r="E29" s="54">
        <f>SUM(E11:E28)</f>
        <v>3</v>
      </c>
      <c r="F29" s="54">
        <f>SUM(F11:F28)</f>
        <v>0</v>
      </c>
      <c r="G29" s="54">
        <f>SUM(G11:G28)</f>
        <v>0</v>
      </c>
      <c r="H29" s="55">
        <f>SUM(H11:H28)</f>
        <v>370</v>
      </c>
    </row>
    <row r="30" spans="1:8">
      <c r="B30" s="56"/>
      <c r="D30" s="57"/>
      <c r="E30" s="58"/>
      <c r="F30" s="58"/>
      <c r="G30" s="58"/>
      <c r="H30" s="58"/>
    </row>
    <row r="31" spans="1:8">
      <c r="C31" s="59" t="s">
        <v>30</v>
      </c>
      <c r="E31" s="60">
        <f>(D29+E29)*100/(H29-G29)</f>
        <v>100</v>
      </c>
      <c r="F31" s="1" t="s">
        <v>31</v>
      </c>
      <c r="H31" s="28"/>
    </row>
    <row r="32" spans="1:8">
      <c r="C32" s="59" t="s">
        <v>32</v>
      </c>
      <c r="E32" s="60">
        <f>D29*100/(H29-G29)</f>
        <v>99.189189189189193</v>
      </c>
      <c r="F32" s="1" t="s">
        <v>31</v>
      </c>
      <c r="H32" s="28"/>
    </row>
  </sheetData>
  <mergeCells count="8">
    <mergeCell ref="C5:D5"/>
    <mergeCell ref="E5:F5"/>
    <mergeCell ref="C6:H6"/>
    <mergeCell ref="B1:H1"/>
    <mergeCell ref="C3:D3"/>
    <mergeCell ref="E3:F3"/>
    <mergeCell ref="C4:D4"/>
    <mergeCell ref="E4:F4"/>
  </mergeCells>
  <phoneticPr fontId="0" type="noConversion"/>
  <pageMargins left="0.74791666666666667" right="0.74791666666666667" top="0.98402777777777783" bottom="0.98402777777777772" header="0.51180555555555562" footer="0.5"/>
  <pageSetup firstPageNumber="0" orientation="landscape" horizontalDpi="300" verticalDpi="300" r:id="rId1"/>
  <headerFooter alignWithMargins="0">
    <oddFooter>&amp;L&amp;"Tahoma,Regular"&amp;8 02ae-BM/PM/HDCV/FSOFT v2/0&amp;C&amp;"tahoma,Regular"&amp;8Internal use&amp;R&amp;"Tahoma,Regular"&amp;8&amp;P/&amp;N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1221E-6D09-486E-B7A4-3C40E759C636}">
  <sheetPr>
    <outlinePr summaryBelow="0" summaryRight="0"/>
  </sheetPr>
  <dimension ref="A1:R50"/>
  <sheetViews>
    <sheetView zoomScale="85" zoomScaleNormal="85" workbookViewId="0">
      <pane ySplit="10" topLeftCell="A31" activePane="bottomLeft" state="frozen"/>
      <selection pane="bottomLeft"/>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14.77734375" style="1" customWidth="1" outlineLevel="1"/>
    <col min="9" max="9" width="9.33203125" style="1" customWidth="1"/>
    <col min="10" max="10" width="10.6640625" style="1" customWidth="1" outlineLevel="1"/>
    <col min="11" max="11" width="14.77734375" style="1" customWidth="1" outlineLevel="1"/>
    <col min="12" max="12" width="9.33203125" style="1" customWidth="1"/>
    <col min="13" max="13" width="10.6640625" style="1" customWidth="1" outlineLevel="1"/>
    <col min="14" max="14" width="14.77734375" style="1" customWidth="1" outlineLevel="1"/>
    <col min="15" max="15" width="28.6640625" style="1" customWidth="1"/>
    <col min="16" max="16" width="10.109375" style="1" customWidth="1"/>
    <col min="17" max="17" width="8.109375" style="23" customWidth="1"/>
    <col min="18" max="18" width="7.6640625" style="1" hidden="1" customWidth="1"/>
    <col min="19" max="16384" width="9" style="1"/>
  </cols>
  <sheetData>
    <row r="1" spans="1:18" ht="13.8" thickBot="1"/>
    <row r="2" spans="1:18" s="25" customFormat="1" ht="15" customHeight="1">
      <c r="A2" s="77" t="s">
        <v>35</v>
      </c>
      <c r="B2" s="105" t="s">
        <v>48</v>
      </c>
      <c r="C2" s="105"/>
      <c r="D2" s="105"/>
      <c r="E2" s="106"/>
      <c r="F2" s="67"/>
      <c r="G2" s="61"/>
      <c r="H2" s="9"/>
      <c r="I2" s="67"/>
      <c r="J2" s="61"/>
      <c r="K2" s="9"/>
      <c r="L2" s="67"/>
      <c r="M2" s="61"/>
      <c r="N2" s="9"/>
      <c r="O2" s="9"/>
      <c r="P2" s="9"/>
      <c r="Q2" s="24"/>
      <c r="R2" s="25" t="s">
        <v>37</v>
      </c>
    </row>
    <row r="3" spans="1:18" s="25" customFormat="1" ht="28.05" customHeight="1">
      <c r="A3" s="78" t="s">
        <v>20</v>
      </c>
      <c r="B3" s="107" t="s">
        <v>49</v>
      </c>
      <c r="C3" s="107"/>
      <c r="D3" s="107"/>
      <c r="E3" s="108"/>
      <c r="F3" s="67"/>
      <c r="G3" s="61"/>
      <c r="H3" s="9"/>
      <c r="I3" s="67"/>
      <c r="J3" s="61"/>
      <c r="K3" s="9"/>
      <c r="L3" s="67"/>
      <c r="M3" s="61"/>
      <c r="N3" s="9"/>
      <c r="O3" s="9"/>
      <c r="P3" s="9"/>
      <c r="Q3" s="24"/>
      <c r="R3" s="25" t="s">
        <v>38</v>
      </c>
    </row>
    <row r="4" spans="1:18" s="25" customFormat="1" ht="18" customHeight="1">
      <c r="A4" s="78" t="s">
        <v>45</v>
      </c>
      <c r="B4" s="107">
        <f>COUNTA(B11:B2031)</f>
        <v>33</v>
      </c>
      <c r="C4" s="107"/>
      <c r="D4" s="107"/>
      <c r="E4" s="108"/>
      <c r="F4" s="67"/>
      <c r="G4" s="61"/>
      <c r="H4" s="9"/>
      <c r="I4" s="67"/>
      <c r="J4" s="61"/>
      <c r="K4" s="9"/>
      <c r="L4" s="67"/>
      <c r="M4" s="61"/>
      <c r="N4" s="9"/>
      <c r="O4" s="9"/>
      <c r="P4" s="9"/>
      <c r="Q4" s="24"/>
      <c r="R4" s="25" t="s">
        <v>36</v>
      </c>
    </row>
    <row r="5" spans="1:18" s="25" customFormat="1" ht="19.5" customHeight="1">
      <c r="A5" s="71" t="s">
        <v>39</v>
      </c>
      <c r="B5" s="69" t="s">
        <v>37</v>
      </c>
      <c r="C5" s="69" t="s">
        <v>38</v>
      </c>
      <c r="D5" s="69" t="s">
        <v>36</v>
      </c>
      <c r="E5" s="72" t="s">
        <v>22</v>
      </c>
      <c r="F5" s="62"/>
      <c r="G5" s="62"/>
      <c r="H5" s="26"/>
      <c r="I5" s="62"/>
      <c r="J5" s="62"/>
      <c r="K5" s="26"/>
      <c r="L5" s="62"/>
      <c r="M5" s="62"/>
      <c r="N5" s="26"/>
      <c r="O5" s="26"/>
      <c r="P5" s="26"/>
      <c r="Q5" s="27"/>
      <c r="R5" s="25" t="s">
        <v>22</v>
      </c>
    </row>
    <row r="6" spans="1:18" s="25" customFormat="1" ht="15" customHeight="1">
      <c r="A6" s="71" t="s">
        <v>40</v>
      </c>
      <c r="B6" s="70">
        <f>COUNTIF($F$11:$F$2031,B$5)</f>
        <v>33</v>
      </c>
      <c r="C6" s="70">
        <f>COUNTIF($F$11:$F$2031,C$5)</f>
        <v>0</v>
      </c>
      <c r="D6" s="70">
        <f>COUNTIF($F$11:$F$2031,D$5)</f>
        <v>0</v>
      </c>
      <c r="E6" s="76">
        <f>COUNTIF($F$11:$F$2031,E$5)</f>
        <v>0</v>
      </c>
      <c r="F6" s="63"/>
      <c r="G6" s="63"/>
      <c r="H6" s="26"/>
      <c r="I6" s="63"/>
      <c r="J6" s="63"/>
      <c r="K6" s="26"/>
      <c r="L6" s="63"/>
      <c r="M6" s="63"/>
      <c r="N6" s="26"/>
      <c r="O6" s="26"/>
      <c r="P6" s="26"/>
      <c r="Q6" s="27"/>
    </row>
    <row r="7" spans="1:18" s="25" customFormat="1" ht="15" customHeight="1">
      <c r="A7" s="71" t="s">
        <v>42</v>
      </c>
      <c r="B7" s="70">
        <f>COUNTIF($I$11:$I$2031,B$5)</f>
        <v>33</v>
      </c>
      <c r="C7" s="70">
        <f>COUNTIF($I$11:$I$2031,C$5)</f>
        <v>0</v>
      </c>
      <c r="D7" s="70">
        <f>COUNTIF($I$11:$I$2031,D$5)</f>
        <v>0</v>
      </c>
      <c r="E7" s="76">
        <f>COUNTIF($I$11:$I$2031,E$5)</f>
        <v>0</v>
      </c>
      <c r="F7" s="63"/>
      <c r="G7" s="63"/>
      <c r="H7" s="26"/>
      <c r="I7" s="63"/>
      <c r="J7" s="63"/>
      <c r="K7" s="26"/>
      <c r="L7" s="63"/>
      <c r="M7" s="63"/>
      <c r="N7" s="26"/>
      <c r="O7" s="26"/>
      <c r="P7" s="26"/>
      <c r="Q7" s="27"/>
    </row>
    <row r="8" spans="1:18" s="25" customFormat="1" ht="15" customHeight="1" thickBot="1">
      <c r="A8" s="73" t="s">
        <v>43</v>
      </c>
      <c r="B8" s="74">
        <f>COUNTIF($L$11:$L$2031,B$5)</f>
        <v>0</v>
      </c>
      <c r="C8" s="74">
        <f>COUNTIF($L$11:$L$2031,C$5)</f>
        <v>0</v>
      </c>
      <c r="D8" s="74">
        <f>COUNTIF($L$11:$L$2031,D$5)</f>
        <v>0</v>
      </c>
      <c r="E8" s="75">
        <f>COUNTIF($L$11:$L$2031,E$5)</f>
        <v>0</v>
      </c>
      <c r="F8" s="63"/>
      <c r="G8" s="63"/>
      <c r="H8" s="26"/>
      <c r="I8" s="63"/>
      <c r="J8" s="63"/>
      <c r="K8" s="26"/>
      <c r="L8" s="63"/>
      <c r="M8" s="63"/>
      <c r="N8" s="26"/>
      <c r="O8" s="26"/>
      <c r="P8" s="26"/>
      <c r="Q8" s="27"/>
    </row>
    <row r="9" spans="1:18" s="25" customFormat="1" ht="15" customHeight="1">
      <c r="A9" s="26"/>
      <c r="B9" s="26"/>
      <c r="C9" s="26"/>
      <c r="D9" s="26"/>
      <c r="E9" s="26"/>
      <c r="F9" s="28"/>
      <c r="G9" s="26"/>
      <c r="H9" s="26"/>
      <c r="I9" s="28"/>
      <c r="J9" s="26"/>
      <c r="K9" s="26"/>
      <c r="L9" s="28"/>
      <c r="M9" s="26"/>
      <c r="N9" s="26"/>
      <c r="O9" s="26"/>
      <c r="P9" s="26"/>
      <c r="Q9" s="27"/>
    </row>
    <row r="10" spans="1:18" s="25" customFormat="1" ht="25.5" customHeight="1">
      <c r="A10" s="68" t="s">
        <v>44</v>
      </c>
      <c r="B10" s="68" t="s">
        <v>23</v>
      </c>
      <c r="C10" s="68" t="s">
        <v>34</v>
      </c>
      <c r="D10" s="68" t="s">
        <v>33</v>
      </c>
      <c r="E10" s="68" t="s">
        <v>41</v>
      </c>
      <c r="F10" s="68" t="s">
        <v>40</v>
      </c>
      <c r="G10" s="68" t="s">
        <v>24</v>
      </c>
      <c r="H10" s="68" t="s">
        <v>21</v>
      </c>
      <c r="I10" s="68" t="s">
        <v>42</v>
      </c>
      <c r="J10" s="68" t="s">
        <v>24</v>
      </c>
      <c r="K10" s="68" t="s">
        <v>21</v>
      </c>
      <c r="L10" s="68" t="s">
        <v>43</v>
      </c>
      <c r="M10" s="68" t="s">
        <v>24</v>
      </c>
      <c r="N10" s="68" t="s">
        <v>21</v>
      </c>
      <c r="O10" s="68" t="s">
        <v>25</v>
      </c>
      <c r="Q10" s="29"/>
    </row>
    <row r="11" spans="1:18" s="25" customFormat="1" ht="15.75" customHeight="1">
      <c r="A11" s="64" t="s">
        <v>50</v>
      </c>
      <c r="B11" s="64"/>
      <c r="C11" s="65"/>
      <c r="D11" s="65"/>
      <c r="E11" s="65"/>
      <c r="F11" s="109"/>
      <c r="G11" s="110" t="s">
        <v>51</v>
      </c>
      <c r="H11" s="109"/>
      <c r="I11" s="109"/>
      <c r="J11" s="110" t="s">
        <v>51</v>
      </c>
      <c r="K11" s="109"/>
      <c r="L11" s="109"/>
      <c r="M11" s="110" t="s">
        <v>51</v>
      </c>
      <c r="N11" s="109"/>
      <c r="O11" s="66"/>
      <c r="Q11" s="30"/>
    </row>
    <row r="12" spans="1:18" ht="45.6" customHeight="1" outlineLevel="1">
      <c r="A12" s="31" t="s">
        <v>52</v>
      </c>
      <c r="B12" s="31" t="s">
        <v>53</v>
      </c>
      <c r="C12" s="31" t="s">
        <v>54</v>
      </c>
      <c r="D12" s="33" t="s">
        <v>55</v>
      </c>
      <c r="E12" s="33" t="s">
        <v>56</v>
      </c>
      <c r="F12" s="111" t="s">
        <v>37</v>
      </c>
      <c r="G12" s="112" t="s">
        <v>57</v>
      </c>
      <c r="H12" s="111" t="s">
        <v>58</v>
      </c>
      <c r="I12" s="111" t="s">
        <v>37</v>
      </c>
      <c r="J12" s="112" t="s">
        <v>57</v>
      </c>
      <c r="K12" s="111" t="s">
        <v>58</v>
      </c>
      <c r="L12" s="111"/>
      <c r="M12" s="112" t="s">
        <v>51</v>
      </c>
      <c r="N12" s="111"/>
      <c r="O12" s="113" t="s">
        <v>59</v>
      </c>
      <c r="Q12" s="32"/>
    </row>
    <row r="13" spans="1:18" ht="45.6" customHeight="1" outlineLevel="1">
      <c r="A13" s="31" t="s">
        <v>60</v>
      </c>
      <c r="B13" s="31" t="s">
        <v>61</v>
      </c>
      <c r="C13" s="31" t="s">
        <v>62</v>
      </c>
      <c r="D13" s="33" t="s">
        <v>63</v>
      </c>
      <c r="E13" s="33" t="s">
        <v>64</v>
      </c>
      <c r="F13" s="111" t="s">
        <v>37</v>
      </c>
      <c r="G13" s="112" t="s">
        <v>57</v>
      </c>
      <c r="H13" s="111" t="s">
        <v>58</v>
      </c>
      <c r="I13" s="111" t="s">
        <v>37</v>
      </c>
      <c r="J13" s="112" t="s">
        <v>57</v>
      </c>
      <c r="K13" s="111" t="s">
        <v>58</v>
      </c>
      <c r="L13" s="111"/>
      <c r="M13" s="112" t="s">
        <v>51</v>
      </c>
      <c r="N13" s="111"/>
      <c r="O13" s="113" t="s">
        <v>59</v>
      </c>
      <c r="Q13" s="32"/>
    </row>
    <row r="14" spans="1:18" ht="58.8" customHeight="1" outlineLevel="1">
      <c r="A14" s="31" t="s">
        <v>65</v>
      </c>
      <c r="B14" s="31" t="s">
        <v>66</v>
      </c>
      <c r="C14" s="31" t="s">
        <v>67</v>
      </c>
      <c r="D14" s="33" t="s">
        <v>68</v>
      </c>
      <c r="E14" s="33" t="s">
        <v>69</v>
      </c>
      <c r="F14" s="111" t="s">
        <v>37</v>
      </c>
      <c r="G14" s="112" t="s">
        <v>57</v>
      </c>
      <c r="H14" s="111" t="s">
        <v>58</v>
      </c>
      <c r="I14" s="111" t="s">
        <v>37</v>
      </c>
      <c r="J14" s="112" t="s">
        <v>57</v>
      </c>
      <c r="K14" s="111" t="s">
        <v>58</v>
      </c>
      <c r="L14" s="111"/>
      <c r="M14" s="112" t="s">
        <v>51</v>
      </c>
      <c r="N14" s="111"/>
      <c r="O14" s="113" t="s">
        <v>59</v>
      </c>
      <c r="Q14" s="32"/>
    </row>
    <row r="15" spans="1:18" ht="32.4" customHeight="1" outlineLevel="1">
      <c r="A15" s="31" t="s">
        <v>70</v>
      </c>
      <c r="B15" s="31" t="s">
        <v>71</v>
      </c>
      <c r="C15" s="31" t="s">
        <v>72</v>
      </c>
      <c r="D15" s="33" t="s">
        <v>73</v>
      </c>
      <c r="E15" s="33" t="s">
        <v>64</v>
      </c>
      <c r="F15" s="111" t="s">
        <v>37</v>
      </c>
      <c r="G15" s="112" t="s">
        <v>57</v>
      </c>
      <c r="H15" s="111" t="s">
        <v>58</v>
      </c>
      <c r="I15" s="111" t="s">
        <v>37</v>
      </c>
      <c r="J15" s="112" t="s">
        <v>57</v>
      </c>
      <c r="K15" s="111" t="s">
        <v>58</v>
      </c>
      <c r="L15" s="111"/>
      <c r="M15" s="112" t="s">
        <v>51</v>
      </c>
      <c r="N15" s="111"/>
      <c r="O15" s="113" t="s">
        <v>59</v>
      </c>
      <c r="Q15" s="32"/>
    </row>
    <row r="16" spans="1:18" ht="32.4" customHeight="1" outlineLevel="1">
      <c r="A16" s="31" t="s">
        <v>74</v>
      </c>
      <c r="B16" s="31" t="s">
        <v>75</v>
      </c>
      <c r="C16" s="31" t="s">
        <v>76</v>
      </c>
      <c r="D16" s="33" t="s">
        <v>77</v>
      </c>
      <c r="E16" s="33" t="s">
        <v>78</v>
      </c>
      <c r="F16" s="111" t="s">
        <v>37</v>
      </c>
      <c r="G16" s="112" t="s">
        <v>57</v>
      </c>
      <c r="H16" s="111" t="s">
        <v>58</v>
      </c>
      <c r="I16" s="111" t="s">
        <v>37</v>
      </c>
      <c r="J16" s="112" t="s">
        <v>57</v>
      </c>
      <c r="K16" s="111" t="s">
        <v>58</v>
      </c>
      <c r="L16" s="111"/>
      <c r="M16" s="112" t="s">
        <v>51</v>
      </c>
      <c r="N16" s="111"/>
      <c r="O16" s="113" t="s">
        <v>59</v>
      </c>
      <c r="Q16" s="32"/>
    </row>
    <row r="17" spans="1:17" s="25" customFormat="1" ht="15.75" customHeight="1">
      <c r="A17" s="64" t="s">
        <v>79</v>
      </c>
      <c r="B17" s="64"/>
      <c r="C17" s="65"/>
      <c r="D17" s="65"/>
      <c r="E17" s="65"/>
      <c r="F17" s="109"/>
      <c r="G17" s="110" t="s">
        <v>51</v>
      </c>
      <c r="H17" s="109"/>
      <c r="I17" s="109"/>
      <c r="J17" s="110" t="s">
        <v>51</v>
      </c>
      <c r="K17" s="109"/>
      <c r="L17" s="109"/>
      <c r="M17" s="110" t="s">
        <v>51</v>
      </c>
      <c r="N17" s="109"/>
      <c r="O17" s="66"/>
      <c r="Q17" s="30"/>
    </row>
    <row r="18" spans="1:17" ht="32.4" customHeight="1" outlineLevel="1">
      <c r="A18" s="31" t="s">
        <v>80</v>
      </c>
      <c r="B18" s="31" t="s">
        <v>81</v>
      </c>
      <c r="C18" s="31" t="s">
        <v>82</v>
      </c>
      <c r="D18" s="33" t="s">
        <v>83</v>
      </c>
      <c r="E18" s="33" t="s">
        <v>84</v>
      </c>
      <c r="F18" s="111" t="s">
        <v>37</v>
      </c>
      <c r="G18" s="112" t="s">
        <v>57</v>
      </c>
      <c r="H18" s="111" t="s">
        <v>58</v>
      </c>
      <c r="I18" s="111" t="s">
        <v>37</v>
      </c>
      <c r="J18" s="112" t="s">
        <v>57</v>
      </c>
      <c r="K18" s="111" t="s">
        <v>58</v>
      </c>
      <c r="L18" s="111"/>
      <c r="M18" s="112" t="s">
        <v>51</v>
      </c>
      <c r="N18" s="111"/>
      <c r="O18" s="113" t="s">
        <v>59</v>
      </c>
      <c r="Q18" s="32"/>
    </row>
    <row r="19" spans="1:17" ht="32.4" customHeight="1" outlineLevel="1">
      <c r="A19" s="31" t="s">
        <v>85</v>
      </c>
      <c r="B19" s="31" t="s">
        <v>86</v>
      </c>
      <c r="C19" s="31" t="s">
        <v>87</v>
      </c>
      <c r="D19" s="33" t="s">
        <v>88</v>
      </c>
      <c r="E19" s="33" t="s">
        <v>89</v>
      </c>
      <c r="F19" s="111" t="s">
        <v>37</v>
      </c>
      <c r="G19" s="112" t="s">
        <v>57</v>
      </c>
      <c r="H19" s="111" t="s">
        <v>58</v>
      </c>
      <c r="I19" s="111" t="s">
        <v>37</v>
      </c>
      <c r="J19" s="112" t="s">
        <v>57</v>
      </c>
      <c r="K19" s="111" t="s">
        <v>58</v>
      </c>
      <c r="L19" s="111"/>
      <c r="M19" s="112" t="s">
        <v>51</v>
      </c>
      <c r="N19" s="111"/>
      <c r="O19" s="113" t="s">
        <v>59</v>
      </c>
      <c r="Q19" s="32"/>
    </row>
    <row r="20" spans="1:17" s="25" customFormat="1" ht="15.75" customHeight="1">
      <c r="A20" s="64" t="s">
        <v>90</v>
      </c>
      <c r="B20" s="64"/>
      <c r="C20" s="65"/>
      <c r="D20" s="65"/>
      <c r="E20" s="65"/>
      <c r="F20" s="109"/>
      <c r="G20" s="110" t="s">
        <v>51</v>
      </c>
      <c r="H20" s="109"/>
      <c r="I20" s="109"/>
      <c r="J20" s="110" t="s">
        <v>51</v>
      </c>
      <c r="K20" s="109"/>
      <c r="L20" s="109"/>
      <c r="M20" s="110" t="s">
        <v>51</v>
      </c>
      <c r="N20" s="109"/>
      <c r="O20" s="66"/>
      <c r="Q20" s="30"/>
    </row>
    <row r="21" spans="1:17" ht="45.6" customHeight="1" outlineLevel="1">
      <c r="A21" s="31" t="s">
        <v>91</v>
      </c>
      <c r="B21" s="31" t="s">
        <v>92</v>
      </c>
      <c r="C21" s="31" t="s">
        <v>93</v>
      </c>
      <c r="D21" s="33" t="s">
        <v>94</v>
      </c>
      <c r="E21" s="33" t="s">
        <v>95</v>
      </c>
      <c r="F21" s="111" t="s">
        <v>37</v>
      </c>
      <c r="G21" s="112" t="s">
        <v>57</v>
      </c>
      <c r="H21" s="111" t="s">
        <v>58</v>
      </c>
      <c r="I21" s="111" t="s">
        <v>37</v>
      </c>
      <c r="J21" s="112" t="s">
        <v>57</v>
      </c>
      <c r="K21" s="111" t="s">
        <v>58</v>
      </c>
      <c r="L21" s="111"/>
      <c r="M21" s="112" t="s">
        <v>51</v>
      </c>
      <c r="N21" s="111"/>
      <c r="O21" s="113" t="s">
        <v>59</v>
      </c>
      <c r="Q21" s="32"/>
    </row>
    <row r="22" spans="1:17" ht="45.6" customHeight="1" outlineLevel="1">
      <c r="A22" s="31" t="s">
        <v>96</v>
      </c>
      <c r="B22" s="31" t="s">
        <v>97</v>
      </c>
      <c r="C22" s="31" t="s">
        <v>98</v>
      </c>
      <c r="D22" s="33" t="s">
        <v>99</v>
      </c>
      <c r="E22" s="33" t="s">
        <v>100</v>
      </c>
      <c r="F22" s="111" t="s">
        <v>37</v>
      </c>
      <c r="G22" s="112" t="s">
        <v>57</v>
      </c>
      <c r="H22" s="111" t="s">
        <v>58</v>
      </c>
      <c r="I22" s="111" t="s">
        <v>37</v>
      </c>
      <c r="J22" s="112" t="s">
        <v>57</v>
      </c>
      <c r="K22" s="111" t="s">
        <v>58</v>
      </c>
      <c r="L22" s="111"/>
      <c r="M22" s="112" t="s">
        <v>51</v>
      </c>
      <c r="N22" s="111"/>
      <c r="O22" s="113" t="s">
        <v>59</v>
      </c>
      <c r="Q22" s="32"/>
    </row>
    <row r="23" spans="1:17" ht="32.4" customHeight="1" outlineLevel="1">
      <c r="A23" s="31" t="s">
        <v>101</v>
      </c>
      <c r="B23" s="31" t="s">
        <v>102</v>
      </c>
      <c r="C23" s="31" t="s">
        <v>103</v>
      </c>
      <c r="D23" s="33" t="s">
        <v>104</v>
      </c>
      <c r="E23" s="33" t="s">
        <v>105</v>
      </c>
      <c r="F23" s="111" t="s">
        <v>37</v>
      </c>
      <c r="G23" s="112" t="s">
        <v>57</v>
      </c>
      <c r="H23" s="111" t="s">
        <v>58</v>
      </c>
      <c r="I23" s="111" t="s">
        <v>37</v>
      </c>
      <c r="J23" s="112" t="s">
        <v>57</v>
      </c>
      <c r="K23" s="111" t="s">
        <v>58</v>
      </c>
      <c r="L23" s="111"/>
      <c r="M23" s="112" t="s">
        <v>51</v>
      </c>
      <c r="N23" s="111"/>
      <c r="O23" s="113" t="s">
        <v>59</v>
      </c>
      <c r="Q23" s="32"/>
    </row>
    <row r="24" spans="1:17" s="25" customFormat="1" ht="15.75" customHeight="1">
      <c r="A24" s="64" t="s">
        <v>106</v>
      </c>
      <c r="B24" s="64"/>
      <c r="C24" s="65"/>
      <c r="D24" s="65"/>
      <c r="E24" s="65"/>
      <c r="F24" s="109"/>
      <c r="G24" s="110" t="s">
        <v>51</v>
      </c>
      <c r="H24" s="109"/>
      <c r="I24" s="109"/>
      <c r="J24" s="110" t="s">
        <v>51</v>
      </c>
      <c r="K24" s="109"/>
      <c r="L24" s="109"/>
      <c r="M24" s="110" t="s">
        <v>51</v>
      </c>
      <c r="N24" s="109"/>
      <c r="O24" s="66"/>
      <c r="Q24" s="30"/>
    </row>
    <row r="25" spans="1:17" ht="32.4" customHeight="1" outlineLevel="1">
      <c r="A25" s="31" t="s">
        <v>107</v>
      </c>
      <c r="B25" s="31" t="s">
        <v>108</v>
      </c>
      <c r="C25" s="31" t="s">
        <v>109</v>
      </c>
      <c r="D25" s="33" t="s">
        <v>110</v>
      </c>
      <c r="E25" s="33" t="s">
        <v>56</v>
      </c>
      <c r="F25" s="111" t="s">
        <v>37</v>
      </c>
      <c r="G25" s="112" t="s">
        <v>57</v>
      </c>
      <c r="H25" s="111" t="s">
        <v>58</v>
      </c>
      <c r="I25" s="111" t="s">
        <v>37</v>
      </c>
      <c r="J25" s="112" t="s">
        <v>57</v>
      </c>
      <c r="K25" s="111" t="s">
        <v>58</v>
      </c>
      <c r="L25" s="111"/>
      <c r="M25" s="112" t="s">
        <v>51</v>
      </c>
      <c r="N25" s="111"/>
      <c r="O25" s="113" t="s">
        <v>59</v>
      </c>
      <c r="Q25" s="32"/>
    </row>
    <row r="26" spans="1:17" ht="32.4" customHeight="1" outlineLevel="1">
      <c r="A26" s="31" t="s">
        <v>111</v>
      </c>
      <c r="B26" s="31" t="s">
        <v>112</v>
      </c>
      <c r="C26" s="31" t="s">
        <v>113</v>
      </c>
      <c r="D26" s="33" t="s">
        <v>114</v>
      </c>
      <c r="E26" s="33" t="s">
        <v>115</v>
      </c>
      <c r="F26" s="111" t="s">
        <v>37</v>
      </c>
      <c r="G26" s="112" t="s">
        <v>57</v>
      </c>
      <c r="H26" s="111" t="s">
        <v>58</v>
      </c>
      <c r="I26" s="111" t="s">
        <v>37</v>
      </c>
      <c r="J26" s="112" t="s">
        <v>57</v>
      </c>
      <c r="K26" s="111" t="s">
        <v>58</v>
      </c>
      <c r="L26" s="111"/>
      <c r="M26" s="112" t="s">
        <v>51</v>
      </c>
      <c r="N26" s="111"/>
      <c r="O26" s="113" t="s">
        <v>59</v>
      </c>
      <c r="Q26" s="32"/>
    </row>
    <row r="27" spans="1:17" ht="32.4" customHeight="1" outlineLevel="1">
      <c r="A27" s="31" t="s">
        <v>116</v>
      </c>
      <c r="B27" s="31" t="s">
        <v>117</v>
      </c>
      <c r="C27" s="31" t="s">
        <v>118</v>
      </c>
      <c r="D27" s="33" t="s">
        <v>119</v>
      </c>
      <c r="E27" s="33" t="s">
        <v>120</v>
      </c>
      <c r="F27" s="111" t="s">
        <v>37</v>
      </c>
      <c r="G27" s="112" t="s">
        <v>57</v>
      </c>
      <c r="H27" s="111" t="s">
        <v>58</v>
      </c>
      <c r="I27" s="111" t="s">
        <v>37</v>
      </c>
      <c r="J27" s="112" t="s">
        <v>57</v>
      </c>
      <c r="K27" s="111" t="s">
        <v>58</v>
      </c>
      <c r="L27" s="111"/>
      <c r="M27" s="112" t="s">
        <v>51</v>
      </c>
      <c r="N27" s="111"/>
      <c r="O27" s="113" t="s">
        <v>59</v>
      </c>
      <c r="Q27" s="32"/>
    </row>
    <row r="28" spans="1:17" ht="32.4" customHeight="1" outlineLevel="1">
      <c r="A28" s="31" t="s">
        <v>121</v>
      </c>
      <c r="B28" s="31" t="s">
        <v>122</v>
      </c>
      <c r="C28" s="31" t="s">
        <v>123</v>
      </c>
      <c r="D28" s="33" t="s">
        <v>124</v>
      </c>
      <c r="E28" s="33" t="s">
        <v>125</v>
      </c>
      <c r="F28" s="111" t="s">
        <v>37</v>
      </c>
      <c r="G28" s="112" t="s">
        <v>57</v>
      </c>
      <c r="H28" s="111" t="s">
        <v>58</v>
      </c>
      <c r="I28" s="111" t="s">
        <v>37</v>
      </c>
      <c r="J28" s="112" t="s">
        <v>57</v>
      </c>
      <c r="K28" s="111" t="s">
        <v>58</v>
      </c>
      <c r="L28" s="111"/>
      <c r="M28" s="112" t="s">
        <v>51</v>
      </c>
      <c r="N28" s="111"/>
      <c r="O28" s="113" t="s">
        <v>59</v>
      </c>
      <c r="Q28" s="32"/>
    </row>
    <row r="29" spans="1:17" ht="32.4" customHeight="1" outlineLevel="1">
      <c r="A29" s="31" t="s">
        <v>126</v>
      </c>
      <c r="B29" s="31" t="s">
        <v>127</v>
      </c>
      <c r="C29" s="31" t="s">
        <v>128</v>
      </c>
      <c r="D29" s="33" t="s">
        <v>129</v>
      </c>
      <c r="E29" s="33" t="s">
        <v>130</v>
      </c>
      <c r="F29" s="111" t="s">
        <v>37</v>
      </c>
      <c r="G29" s="112" t="s">
        <v>57</v>
      </c>
      <c r="H29" s="111" t="s">
        <v>58</v>
      </c>
      <c r="I29" s="111" t="s">
        <v>37</v>
      </c>
      <c r="J29" s="112" t="s">
        <v>57</v>
      </c>
      <c r="K29" s="111" t="s">
        <v>58</v>
      </c>
      <c r="L29" s="111"/>
      <c r="M29" s="112" t="s">
        <v>51</v>
      </c>
      <c r="N29" s="111"/>
      <c r="O29" s="113" t="s">
        <v>59</v>
      </c>
      <c r="Q29" s="32"/>
    </row>
    <row r="30" spans="1:17" ht="32.4" customHeight="1" outlineLevel="1">
      <c r="A30" s="31" t="s">
        <v>131</v>
      </c>
      <c r="B30" s="31" t="s">
        <v>132</v>
      </c>
      <c r="C30" s="31" t="s">
        <v>133</v>
      </c>
      <c r="D30" s="33" t="s">
        <v>83</v>
      </c>
      <c r="E30" s="33" t="s">
        <v>105</v>
      </c>
      <c r="F30" s="111" t="s">
        <v>37</v>
      </c>
      <c r="G30" s="112" t="s">
        <v>57</v>
      </c>
      <c r="H30" s="111" t="s">
        <v>58</v>
      </c>
      <c r="I30" s="111" t="s">
        <v>37</v>
      </c>
      <c r="J30" s="112" t="s">
        <v>57</v>
      </c>
      <c r="K30" s="111" t="s">
        <v>58</v>
      </c>
      <c r="L30" s="111"/>
      <c r="M30" s="112" t="s">
        <v>51</v>
      </c>
      <c r="N30" s="111"/>
      <c r="O30" s="113" t="s">
        <v>59</v>
      </c>
      <c r="Q30" s="32"/>
    </row>
    <row r="31" spans="1:17" s="25" customFormat="1" ht="15.75" customHeight="1">
      <c r="A31" s="64" t="s">
        <v>134</v>
      </c>
      <c r="B31" s="64"/>
      <c r="C31" s="65"/>
      <c r="D31" s="65"/>
      <c r="E31" s="65"/>
      <c r="F31" s="109"/>
      <c r="G31" s="110" t="s">
        <v>51</v>
      </c>
      <c r="H31" s="109"/>
      <c r="I31" s="109"/>
      <c r="J31" s="110" t="s">
        <v>51</v>
      </c>
      <c r="K31" s="109"/>
      <c r="L31" s="109"/>
      <c r="M31" s="110" t="s">
        <v>51</v>
      </c>
      <c r="N31" s="109"/>
      <c r="O31" s="66"/>
      <c r="Q31" s="30"/>
    </row>
    <row r="32" spans="1:17" ht="85.2" customHeight="1" outlineLevel="1">
      <c r="A32" s="31" t="s">
        <v>135</v>
      </c>
      <c r="B32" s="31" t="s">
        <v>136</v>
      </c>
      <c r="C32" s="31" t="s">
        <v>137</v>
      </c>
      <c r="D32" s="33" t="s">
        <v>138</v>
      </c>
      <c r="E32" s="33" t="s">
        <v>95</v>
      </c>
      <c r="F32" s="111" t="s">
        <v>37</v>
      </c>
      <c r="G32" s="112" t="s">
        <v>57</v>
      </c>
      <c r="H32" s="111" t="s">
        <v>58</v>
      </c>
      <c r="I32" s="111" t="s">
        <v>37</v>
      </c>
      <c r="J32" s="112" t="s">
        <v>57</v>
      </c>
      <c r="K32" s="111" t="s">
        <v>58</v>
      </c>
      <c r="L32" s="111"/>
      <c r="M32" s="112" t="s">
        <v>51</v>
      </c>
      <c r="N32" s="111"/>
      <c r="O32" s="113" t="s">
        <v>59</v>
      </c>
      <c r="Q32" s="32"/>
    </row>
    <row r="33" spans="1:17" ht="45.6" customHeight="1" outlineLevel="1">
      <c r="A33" s="31" t="s">
        <v>139</v>
      </c>
      <c r="B33" s="31" t="s">
        <v>140</v>
      </c>
      <c r="C33" s="31" t="s">
        <v>141</v>
      </c>
      <c r="D33" s="33" t="s">
        <v>142</v>
      </c>
      <c r="E33" s="33" t="s">
        <v>143</v>
      </c>
      <c r="F33" s="111" t="s">
        <v>37</v>
      </c>
      <c r="G33" s="112" t="s">
        <v>57</v>
      </c>
      <c r="H33" s="111" t="s">
        <v>58</v>
      </c>
      <c r="I33" s="111" t="s">
        <v>37</v>
      </c>
      <c r="J33" s="112" t="s">
        <v>57</v>
      </c>
      <c r="K33" s="111" t="s">
        <v>58</v>
      </c>
      <c r="L33" s="111"/>
      <c r="M33" s="112" t="s">
        <v>51</v>
      </c>
      <c r="N33" s="111"/>
      <c r="O33" s="113" t="s">
        <v>59</v>
      </c>
      <c r="Q33" s="32"/>
    </row>
    <row r="34" spans="1:17" ht="58.8" customHeight="1" outlineLevel="1">
      <c r="A34" s="31" t="s">
        <v>144</v>
      </c>
      <c r="B34" s="31" t="s">
        <v>145</v>
      </c>
      <c r="C34" s="31" t="s">
        <v>146</v>
      </c>
      <c r="D34" s="33" t="s">
        <v>147</v>
      </c>
      <c r="E34" s="33" t="s">
        <v>95</v>
      </c>
      <c r="F34" s="111" t="s">
        <v>37</v>
      </c>
      <c r="G34" s="112" t="s">
        <v>57</v>
      </c>
      <c r="H34" s="111" t="s">
        <v>58</v>
      </c>
      <c r="I34" s="111" t="s">
        <v>37</v>
      </c>
      <c r="J34" s="112" t="s">
        <v>57</v>
      </c>
      <c r="K34" s="111" t="s">
        <v>58</v>
      </c>
      <c r="L34" s="111"/>
      <c r="M34" s="112" t="s">
        <v>51</v>
      </c>
      <c r="N34" s="111"/>
      <c r="O34" s="113" t="s">
        <v>59</v>
      </c>
      <c r="Q34" s="32"/>
    </row>
    <row r="35" spans="1:17" ht="45.6" customHeight="1" outlineLevel="1">
      <c r="A35" s="31" t="s">
        <v>148</v>
      </c>
      <c r="B35" s="31" t="s">
        <v>149</v>
      </c>
      <c r="C35" s="31" t="s">
        <v>150</v>
      </c>
      <c r="D35" s="33" t="s">
        <v>151</v>
      </c>
      <c r="E35" s="33" t="s">
        <v>152</v>
      </c>
      <c r="F35" s="111" t="s">
        <v>37</v>
      </c>
      <c r="G35" s="112" t="s">
        <v>57</v>
      </c>
      <c r="H35" s="111" t="s">
        <v>58</v>
      </c>
      <c r="I35" s="111" t="s">
        <v>37</v>
      </c>
      <c r="J35" s="112" t="s">
        <v>57</v>
      </c>
      <c r="K35" s="111" t="s">
        <v>58</v>
      </c>
      <c r="L35" s="111"/>
      <c r="M35" s="112" t="s">
        <v>51</v>
      </c>
      <c r="N35" s="111"/>
      <c r="O35" s="113" t="s">
        <v>59</v>
      </c>
      <c r="Q35" s="32"/>
    </row>
    <row r="36" spans="1:17" s="25" customFormat="1" ht="15.75" customHeight="1">
      <c r="A36" s="64" t="s">
        <v>153</v>
      </c>
      <c r="B36" s="64"/>
      <c r="C36" s="65"/>
      <c r="D36" s="65"/>
      <c r="E36" s="65"/>
      <c r="F36" s="109"/>
      <c r="G36" s="110" t="s">
        <v>51</v>
      </c>
      <c r="H36" s="109"/>
      <c r="I36" s="109"/>
      <c r="J36" s="110" t="s">
        <v>51</v>
      </c>
      <c r="K36" s="109"/>
      <c r="L36" s="109"/>
      <c r="M36" s="110" t="s">
        <v>51</v>
      </c>
      <c r="N36" s="109"/>
      <c r="O36" s="66"/>
      <c r="Q36" s="30"/>
    </row>
    <row r="37" spans="1:17" ht="45.6" customHeight="1" outlineLevel="1">
      <c r="A37" s="31" t="s">
        <v>154</v>
      </c>
      <c r="B37" s="31" t="s">
        <v>155</v>
      </c>
      <c r="C37" s="31" t="s">
        <v>156</v>
      </c>
      <c r="D37" s="33" t="s">
        <v>157</v>
      </c>
      <c r="E37" s="33" t="s">
        <v>56</v>
      </c>
      <c r="F37" s="111" t="s">
        <v>37</v>
      </c>
      <c r="G37" s="112" t="s">
        <v>57</v>
      </c>
      <c r="H37" s="111" t="s">
        <v>58</v>
      </c>
      <c r="I37" s="111" t="s">
        <v>37</v>
      </c>
      <c r="J37" s="112" t="s">
        <v>57</v>
      </c>
      <c r="K37" s="111" t="s">
        <v>58</v>
      </c>
      <c r="L37" s="111"/>
      <c r="M37" s="112" t="s">
        <v>51</v>
      </c>
      <c r="N37" s="111"/>
      <c r="O37" s="113" t="s">
        <v>59</v>
      </c>
      <c r="Q37" s="32"/>
    </row>
    <row r="38" spans="1:17" ht="45.6" customHeight="1" outlineLevel="1">
      <c r="A38" s="31" t="s">
        <v>158</v>
      </c>
      <c r="B38" s="31" t="s">
        <v>159</v>
      </c>
      <c r="C38" s="31" t="s">
        <v>160</v>
      </c>
      <c r="D38" s="33" t="s">
        <v>161</v>
      </c>
      <c r="E38" s="33" t="s">
        <v>69</v>
      </c>
      <c r="F38" s="111" t="s">
        <v>37</v>
      </c>
      <c r="G38" s="112" t="s">
        <v>57</v>
      </c>
      <c r="H38" s="111" t="s">
        <v>58</v>
      </c>
      <c r="I38" s="111" t="s">
        <v>37</v>
      </c>
      <c r="J38" s="112" t="s">
        <v>57</v>
      </c>
      <c r="K38" s="111" t="s">
        <v>58</v>
      </c>
      <c r="L38" s="111"/>
      <c r="M38" s="112" t="s">
        <v>51</v>
      </c>
      <c r="N38" s="111"/>
      <c r="O38" s="113" t="s">
        <v>59</v>
      </c>
      <c r="Q38" s="32"/>
    </row>
    <row r="39" spans="1:17" ht="45.6" customHeight="1" outlineLevel="1">
      <c r="A39" s="31" t="s">
        <v>162</v>
      </c>
      <c r="B39" s="31" t="s">
        <v>163</v>
      </c>
      <c r="C39" s="31" t="s">
        <v>164</v>
      </c>
      <c r="D39" s="33" t="s">
        <v>165</v>
      </c>
      <c r="E39" s="33" t="s">
        <v>105</v>
      </c>
      <c r="F39" s="111" t="s">
        <v>37</v>
      </c>
      <c r="G39" s="112" t="s">
        <v>57</v>
      </c>
      <c r="H39" s="111" t="s">
        <v>58</v>
      </c>
      <c r="I39" s="111" t="s">
        <v>37</v>
      </c>
      <c r="J39" s="112" t="s">
        <v>57</v>
      </c>
      <c r="K39" s="111" t="s">
        <v>58</v>
      </c>
      <c r="L39" s="111"/>
      <c r="M39" s="112" t="s">
        <v>51</v>
      </c>
      <c r="N39" s="111"/>
      <c r="O39" s="113" t="s">
        <v>59</v>
      </c>
      <c r="Q39" s="32"/>
    </row>
    <row r="40" spans="1:17" ht="45.6" customHeight="1" outlineLevel="1">
      <c r="A40" s="31" t="s">
        <v>166</v>
      </c>
      <c r="B40" s="31" t="s">
        <v>167</v>
      </c>
      <c r="C40" s="31" t="s">
        <v>168</v>
      </c>
      <c r="D40" s="33" t="s">
        <v>169</v>
      </c>
      <c r="E40" s="33" t="s">
        <v>105</v>
      </c>
      <c r="F40" s="111" t="s">
        <v>37</v>
      </c>
      <c r="G40" s="112" t="s">
        <v>57</v>
      </c>
      <c r="H40" s="111" t="s">
        <v>58</v>
      </c>
      <c r="I40" s="111" t="s">
        <v>37</v>
      </c>
      <c r="J40" s="112" t="s">
        <v>57</v>
      </c>
      <c r="K40" s="111" t="s">
        <v>58</v>
      </c>
      <c r="L40" s="111"/>
      <c r="M40" s="112" t="s">
        <v>51</v>
      </c>
      <c r="N40" s="111"/>
      <c r="O40" s="113" t="s">
        <v>59</v>
      </c>
      <c r="Q40" s="32"/>
    </row>
    <row r="41" spans="1:17" ht="32.4" customHeight="1" outlineLevel="1">
      <c r="A41" s="31" t="s">
        <v>170</v>
      </c>
      <c r="B41" s="31" t="s">
        <v>171</v>
      </c>
      <c r="C41" s="31" t="s">
        <v>172</v>
      </c>
      <c r="D41" s="33" t="s">
        <v>173</v>
      </c>
      <c r="E41" s="33" t="s">
        <v>64</v>
      </c>
      <c r="F41" s="111" t="s">
        <v>37</v>
      </c>
      <c r="G41" s="112" t="s">
        <v>57</v>
      </c>
      <c r="H41" s="111" t="s">
        <v>58</v>
      </c>
      <c r="I41" s="111" t="s">
        <v>37</v>
      </c>
      <c r="J41" s="112" t="s">
        <v>57</v>
      </c>
      <c r="K41" s="111" t="s">
        <v>58</v>
      </c>
      <c r="L41" s="111"/>
      <c r="M41" s="112" t="s">
        <v>51</v>
      </c>
      <c r="N41" s="111"/>
      <c r="O41" s="113" t="s">
        <v>59</v>
      </c>
      <c r="Q41" s="32"/>
    </row>
    <row r="42" spans="1:17" ht="45.6" customHeight="1" outlineLevel="1">
      <c r="A42" s="31" t="s">
        <v>174</v>
      </c>
      <c r="B42" s="31" t="s">
        <v>175</v>
      </c>
      <c r="C42" s="31" t="s">
        <v>176</v>
      </c>
      <c r="D42" s="33" t="s">
        <v>177</v>
      </c>
      <c r="E42" s="33" t="s">
        <v>178</v>
      </c>
      <c r="F42" s="111" t="s">
        <v>37</v>
      </c>
      <c r="G42" s="112" t="s">
        <v>57</v>
      </c>
      <c r="H42" s="111" t="s">
        <v>58</v>
      </c>
      <c r="I42" s="111" t="s">
        <v>37</v>
      </c>
      <c r="J42" s="112" t="s">
        <v>57</v>
      </c>
      <c r="K42" s="111" t="s">
        <v>58</v>
      </c>
      <c r="L42" s="111"/>
      <c r="M42" s="112" t="s">
        <v>51</v>
      </c>
      <c r="N42" s="111"/>
      <c r="O42" s="113" t="s">
        <v>59</v>
      </c>
      <c r="Q42" s="32"/>
    </row>
    <row r="43" spans="1:17" ht="45.6" customHeight="1" outlineLevel="1">
      <c r="A43" s="31" t="s">
        <v>179</v>
      </c>
      <c r="B43" s="31" t="s">
        <v>180</v>
      </c>
      <c r="C43" s="31" t="s">
        <v>181</v>
      </c>
      <c r="D43" s="33" t="s">
        <v>182</v>
      </c>
      <c r="E43" s="33" t="s">
        <v>105</v>
      </c>
      <c r="F43" s="111" t="s">
        <v>37</v>
      </c>
      <c r="G43" s="112" t="s">
        <v>57</v>
      </c>
      <c r="H43" s="111" t="s">
        <v>58</v>
      </c>
      <c r="I43" s="111" t="s">
        <v>37</v>
      </c>
      <c r="J43" s="112" t="s">
        <v>57</v>
      </c>
      <c r="K43" s="111" t="s">
        <v>58</v>
      </c>
      <c r="L43" s="111"/>
      <c r="M43" s="112" t="s">
        <v>51</v>
      </c>
      <c r="N43" s="111"/>
      <c r="O43" s="113" t="s">
        <v>59</v>
      </c>
      <c r="Q43" s="32"/>
    </row>
    <row r="44" spans="1:17" ht="45.6" customHeight="1" outlineLevel="1">
      <c r="A44" s="31" t="s">
        <v>183</v>
      </c>
      <c r="B44" s="31" t="s">
        <v>184</v>
      </c>
      <c r="C44" s="31" t="s">
        <v>185</v>
      </c>
      <c r="D44" s="33" t="s">
        <v>186</v>
      </c>
      <c r="E44" s="33" t="s">
        <v>105</v>
      </c>
      <c r="F44" s="111" t="s">
        <v>37</v>
      </c>
      <c r="G44" s="112" t="s">
        <v>57</v>
      </c>
      <c r="H44" s="111" t="s">
        <v>58</v>
      </c>
      <c r="I44" s="111" t="s">
        <v>37</v>
      </c>
      <c r="J44" s="112" t="s">
        <v>57</v>
      </c>
      <c r="K44" s="111" t="s">
        <v>58</v>
      </c>
      <c r="L44" s="111"/>
      <c r="M44" s="112" t="s">
        <v>51</v>
      </c>
      <c r="N44" s="111"/>
      <c r="O44" s="113" t="s">
        <v>59</v>
      </c>
      <c r="Q44" s="32"/>
    </row>
    <row r="45" spans="1:17" ht="58.8" customHeight="1" outlineLevel="1">
      <c r="A45" s="31" t="s">
        <v>187</v>
      </c>
      <c r="B45" s="31" t="s">
        <v>188</v>
      </c>
      <c r="C45" s="31" t="s">
        <v>189</v>
      </c>
      <c r="D45" s="33" t="s">
        <v>190</v>
      </c>
      <c r="E45" s="33" t="s">
        <v>191</v>
      </c>
      <c r="F45" s="111" t="s">
        <v>37</v>
      </c>
      <c r="G45" s="112" t="s">
        <v>57</v>
      </c>
      <c r="H45" s="111" t="s">
        <v>58</v>
      </c>
      <c r="I45" s="111" t="s">
        <v>37</v>
      </c>
      <c r="J45" s="112" t="s">
        <v>57</v>
      </c>
      <c r="K45" s="111" t="s">
        <v>58</v>
      </c>
      <c r="L45" s="111"/>
      <c r="M45" s="112" t="s">
        <v>51</v>
      </c>
      <c r="N45" s="111"/>
      <c r="O45" s="113" t="s">
        <v>59</v>
      </c>
      <c r="Q45" s="32"/>
    </row>
    <row r="46" spans="1:17" ht="58.8" customHeight="1" outlineLevel="1">
      <c r="A46" s="31" t="s">
        <v>192</v>
      </c>
      <c r="B46" s="31" t="s">
        <v>193</v>
      </c>
      <c r="C46" s="31" t="s">
        <v>194</v>
      </c>
      <c r="D46" s="33" t="s">
        <v>195</v>
      </c>
      <c r="E46" s="33" t="s">
        <v>196</v>
      </c>
      <c r="F46" s="111" t="s">
        <v>37</v>
      </c>
      <c r="G46" s="112" t="s">
        <v>57</v>
      </c>
      <c r="H46" s="111" t="s">
        <v>58</v>
      </c>
      <c r="I46" s="111" t="s">
        <v>37</v>
      </c>
      <c r="J46" s="112" t="s">
        <v>57</v>
      </c>
      <c r="K46" s="111" t="s">
        <v>58</v>
      </c>
      <c r="L46" s="111"/>
      <c r="M46" s="112" t="s">
        <v>51</v>
      </c>
      <c r="N46" s="111"/>
      <c r="O46" s="113" t="s">
        <v>59</v>
      </c>
      <c r="Q46" s="32"/>
    </row>
    <row r="47" spans="1:17" ht="45.6" customHeight="1" outlineLevel="1">
      <c r="A47" s="31" t="s">
        <v>197</v>
      </c>
      <c r="B47" s="31" t="s">
        <v>198</v>
      </c>
      <c r="C47" s="31" t="s">
        <v>199</v>
      </c>
      <c r="D47" s="33" t="s">
        <v>200</v>
      </c>
      <c r="E47" s="33" t="s">
        <v>196</v>
      </c>
      <c r="F47" s="111" t="s">
        <v>37</v>
      </c>
      <c r="G47" s="112" t="s">
        <v>57</v>
      </c>
      <c r="H47" s="111" t="s">
        <v>58</v>
      </c>
      <c r="I47" s="111" t="s">
        <v>37</v>
      </c>
      <c r="J47" s="112" t="s">
        <v>57</v>
      </c>
      <c r="K47" s="111" t="s">
        <v>58</v>
      </c>
      <c r="L47" s="111"/>
      <c r="M47" s="112" t="s">
        <v>51</v>
      </c>
      <c r="N47" s="111"/>
      <c r="O47" s="113" t="s">
        <v>59</v>
      </c>
      <c r="Q47" s="32"/>
    </row>
    <row r="48" spans="1:17" s="25" customFormat="1" ht="15.75" customHeight="1">
      <c r="A48" s="64" t="s">
        <v>201</v>
      </c>
      <c r="B48" s="64"/>
      <c r="C48" s="65"/>
      <c r="D48" s="65"/>
      <c r="E48" s="65"/>
      <c r="F48" s="109"/>
      <c r="G48" s="110" t="s">
        <v>51</v>
      </c>
      <c r="H48" s="109"/>
      <c r="I48" s="109"/>
      <c r="J48" s="110" t="s">
        <v>51</v>
      </c>
      <c r="K48" s="109"/>
      <c r="L48" s="109"/>
      <c r="M48" s="110" t="s">
        <v>51</v>
      </c>
      <c r="N48" s="109"/>
      <c r="O48" s="66"/>
      <c r="Q48" s="30"/>
    </row>
    <row r="49" spans="1:17" ht="72" customHeight="1" outlineLevel="1">
      <c r="A49" s="31" t="s">
        <v>202</v>
      </c>
      <c r="B49" s="31" t="s">
        <v>203</v>
      </c>
      <c r="C49" s="31" t="s">
        <v>204</v>
      </c>
      <c r="D49" s="33" t="s">
        <v>205</v>
      </c>
      <c r="E49" s="33" t="s">
        <v>206</v>
      </c>
      <c r="F49" s="111" t="s">
        <v>37</v>
      </c>
      <c r="G49" s="112" t="s">
        <v>57</v>
      </c>
      <c r="H49" s="111" t="s">
        <v>58</v>
      </c>
      <c r="I49" s="111" t="s">
        <v>37</v>
      </c>
      <c r="J49" s="112" t="s">
        <v>57</v>
      </c>
      <c r="K49" s="111" t="s">
        <v>58</v>
      </c>
      <c r="L49" s="111"/>
      <c r="M49" s="112" t="s">
        <v>51</v>
      </c>
      <c r="N49" s="111"/>
      <c r="O49" s="113" t="s">
        <v>59</v>
      </c>
      <c r="Q49" s="32"/>
    </row>
    <row r="50" spans="1:17" ht="45.6" customHeight="1" outlineLevel="1">
      <c r="A50" s="31" t="s">
        <v>207</v>
      </c>
      <c r="B50" s="31" t="s">
        <v>208</v>
      </c>
      <c r="C50" s="31" t="s">
        <v>209</v>
      </c>
      <c r="D50" s="33" t="s">
        <v>210</v>
      </c>
      <c r="E50" s="33" t="s">
        <v>211</v>
      </c>
      <c r="F50" s="111" t="s">
        <v>37</v>
      </c>
      <c r="G50" s="112" t="s">
        <v>57</v>
      </c>
      <c r="H50" s="111" t="s">
        <v>58</v>
      </c>
      <c r="I50" s="111" t="s">
        <v>37</v>
      </c>
      <c r="J50" s="112" t="s">
        <v>57</v>
      </c>
      <c r="K50" s="111" t="s">
        <v>58</v>
      </c>
      <c r="L50" s="111"/>
      <c r="M50" s="112" t="s">
        <v>51</v>
      </c>
      <c r="N50" s="111"/>
      <c r="O50" s="113" t="s">
        <v>59</v>
      </c>
      <c r="Q50" s="32"/>
    </row>
  </sheetData>
  <mergeCells count="3">
    <mergeCell ref="B2:E2"/>
    <mergeCell ref="B3:E3"/>
    <mergeCell ref="B4:E4"/>
  </mergeCells>
  <dataValidations count="3">
    <dataValidation allowBlank="1" showErrorMessage="1" sqref="F10 I10 L10" xr:uid="{22273650-74EE-4CEE-AA5A-7DA7568B4248}"/>
    <dataValidation type="list" allowBlank="1" showErrorMessage="1" sqref="G2:G3 G9 G51:G178 J2:J3 J9 J51:J178 M2:M3 M9 M51:M178" xr:uid="{2670DE5E-CDE5-450E-995C-9E9BB383E97A}">
      <formula1>$R$2:$R$5</formula1>
      <formula2>0</formula2>
    </dataValidation>
    <dataValidation type="list" allowBlank="1" showInputMessage="1" showErrorMessage="1" sqref="F11:F50 I11:I50 L11:L50" xr:uid="{A7D894E7-EF18-4CC9-8811-DE4E08C49E1A}">
      <formula1>$R$2:$R$5</formula1>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846C8-D726-40DB-A15A-6766CD4B41A0}">
  <sheetPr>
    <outlinePr summaryBelow="0" summaryRight="0"/>
  </sheetPr>
  <dimension ref="A1:R23"/>
  <sheetViews>
    <sheetView zoomScale="85" zoomScaleNormal="85" workbookViewId="0">
      <pane ySplit="10" topLeftCell="A11" activePane="bottomLeft" state="frozen"/>
      <selection pane="bottomLeft"/>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14.77734375" style="1" customWidth="1" outlineLevel="1"/>
    <col min="9" max="9" width="9.33203125" style="1" customWidth="1"/>
    <col min="10" max="10" width="10.6640625" style="1" customWidth="1" outlineLevel="1"/>
    <col min="11" max="11" width="14.77734375" style="1" customWidth="1" outlineLevel="1"/>
    <col min="12" max="12" width="9.33203125" style="1" customWidth="1"/>
    <col min="13" max="13" width="10.6640625" style="1" customWidth="1" outlineLevel="1"/>
    <col min="14" max="14" width="14.77734375" style="1" customWidth="1" outlineLevel="1"/>
    <col min="15" max="15" width="28.6640625" style="1" customWidth="1"/>
    <col min="16" max="16" width="10.109375" style="1" customWidth="1"/>
    <col min="17" max="17" width="8.109375" style="23" customWidth="1"/>
    <col min="18" max="18" width="7.6640625" style="1" hidden="1" customWidth="1"/>
    <col min="19" max="16384" width="9" style="1"/>
  </cols>
  <sheetData>
    <row r="1" spans="1:18" ht="13.8" thickBot="1"/>
    <row r="2" spans="1:18" s="25" customFormat="1" ht="15" customHeight="1">
      <c r="A2" s="77" t="s">
        <v>35</v>
      </c>
      <c r="B2" s="105" t="s">
        <v>212</v>
      </c>
      <c r="C2" s="105"/>
      <c r="D2" s="105"/>
      <c r="E2" s="106"/>
      <c r="F2" s="67"/>
      <c r="G2" s="61"/>
      <c r="H2" s="9"/>
      <c r="I2" s="67"/>
      <c r="J2" s="61"/>
      <c r="K2" s="9"/>
      <c r="L2" s="67"/>
      <c r="M2" s="61"/>
      <c r="N2" s="9"/>
      <c r="O2" s="9"/>
      <c r="P2" s="9"/>
      <c r="Q2" s="24"/>
      <c r="R2" s="25" t="s">
        <v>37</v>
      </c>
    </row>
    <row r="3" spans="1:18" s="25" customFormat="1" ht="28.05" customHeight="1">
      <c r="A3" s="78" t="s">
        <v>20</v>
      </c>
      <c r="B3" s="107" t="s">
        <v>213</v>
      </c>
      <c r="C3" s="107"/>
      <c r="D3" s="107"/>
      <c r="E3" s="108"/>
      <c r="F3" s="67"/>
      <c r="G3" s="61"/>
      <c r="H3" s="9"/>
      <c r="I3" s="67"/>
      <c r="J3" s="61"/>
      <c r="K3" s="9"/>
      <c r="L3" s="67"/>
      <c r="M3" s="61"/>
      <c r="N3" s="9"/>
      <c r="O3" s="9"/>
      <c r="P3" s="9"/>
      <c r="Q3" s="24"/>
      <c r="R3" s="25" t="s">
        <v>38</v>
      </c>
    </row>
    <row r="4" spans="1:18" s="25" customFormat="1" ht="18" customHeight="1">
      <c r="A4" s="78" t="s">
        <v>45</v>
      </c>
      <c r="B4" s="107">
        <f>COUNTA(B11:B2004)</f>
        <v>11</v>
      </c>
      <c r="C4" s="107"/>
      <c r="D4" s="107"/>
      <c r="E4" s="108"/>
      <c r="F4" s="67"/>
      <c r="G4" s="61"/>
      <c r="H4" s="9"/>
      <c r="I4" s="67"/>
      <c r="J4" s="61"/>
      <c r="K4" s="9"/>
      <c r="L4" s="67"/>
      <c r="M4" s="61"/>
      <c r="N4" s="9"/>
      <c r="O4" s="9"/>
      <c r="P4" s="9"/>
      <c r="Q4" s="24"/>
      <c r="R4" s="25" t="s">
        <v>36</v>
      </c>
    </row>
    <row r="5" spans="1:18" s="25" customFormat="1" ht="19.5" customHeight="1">
      <c r="A5" s="71" t="s">
        <v>39</v>
      </c>
      <c r="B5" s="69" t="s">
        <v>37</v>
      </c>
      <c r="C5" s="69" t="s">
        <v>38</v>
      </c>
      <c r="D5" s="69" t="s">
        <v>36</v>
      </c>
      <c r="E5" s="72" t="s">
        <v>22</v>
      </c>
      <c r="F5" s="62"/>
      <c r="G5" s="62"/>
      <c r="H5" s="26"/>
      <c r="I5" s="62"/>
      <c r="J5" s="62"/>
      <c r="K5" s="26"/>
      <c r="L5" s="62"/>
      <c r="M5" s="62"/>
      <c r="N5" s="26"/>
      <c r="O5" s="26"/>
      <c r="P5" s="26"/>
      <c r="Q5" s="27"/>
      <c r="R5" s="25" t="s">
        <v>22</v>
      </c>
    </row>
    <row r="6" spans="1:18" s="25" customFormat="1" ht="15" customHeight="1">
      <c r="A6" s="71" t="s">
        <v>40</v>
      </c>
      <c r="B6" s="70">
        <f>COUNTIF($F$11:$F$2004,B$5)</f>
        <v>11</v>
      </c>
      <c r="C6" s="70">
        <f>COUNTIF($F$11:$F$2004,C$5)</f>
        <v>0</v>
      </c>
      <c r="D6" s="70">
        <f>COUNTIF($F$11:$F$2004,D$5)</f>
        <v>0</v>
      </c>
      <c r="E6" s="76">
        <f>COUNTIF($F$11:$F$2004,E$5)</f>
        <v>0</v>
      </c>
      <c r="F6" s="63"/>
      <c r="G6" s="63"/>
      <c r="H6" s="26"/>
      <c r="I6" s="63"/>
      <c r="J6" s="63"/>
      <c r="K6" s="26"/>
      <c r="L6" s="63"/>
      <c r="M6" s="63"/>
      <c r="N6" s="26"/>
      <c r="O6" s="26"/>
      <c r="P6" s="26"/>
      <c r="Q6" s="27"/>
    </row>
    <row r="7" spans="1:18" s="25" customFormat="1" ht="15" customHeight="1">
      <c r="A7" s="71" t="s">
        <v>42</v>
      </c>
      <c r="B7" s="70">
        <f>COUNTIF($I$11:$I$2004,B$5)</f>
        <v>11</v>
      </c>
      <c r="C7" s="70">
        <f>COUNTIF($I$11:$I$2004,C$5)</f>
        <v>0</v>
      </c>
      <c r="D7" s="70">
        <f>COUNTIF($I$11:$I$2004,D$5)</f>
        <v>0</v>
      </c>
      <c r="E7" s="76">
        <f>COUNTIF($I$11:$I$2004,E$5)</f>
        <v>0</v>
      </c>
      <c r="F7" s="63"/>
      <c r="G7" s="63"/>
      <c r="H7" s="26"/>
      <c r="I7" s="63"/>
      <c r="J7" s="63"/>
      <c r="K7" s="26"/>
      <c r="L7" s="63"/>
      <c r="M7" s="63"/>
      <c r="N7" s="26"/>
      <c r="O7" s="26"/>
      <c r="P7" s="26"/>
      <c r="Q7" s="27"/>
    </row>
    <row r="8" spans="1:18" s="25" customFormat="1" ht="15" customHeight="1" thickBot="1">
      <c r="A8" s="73" t="s">
        <v>43</v>
      </c>
      <c r="B8" s="74">
        <f>COUNTIF($L$11:$L$2004,B$5)</f>
        <v>0</v>
      </c>
      <c r="C8" s="74">
        <f>COUNTIF($L$11:$L$2004,C$5)</f>
        <v>0</v>
      </c>
      <c r="D8" s="74">
        <f>COUNTIF($L$11:$L$2004,D$5)</f>
        <v>0</v>
      </c>
      <c r="E8" s="75">
        <f>COUNTIF($L$11:$L$2004,E$5)</f>
        <v>0</v>
      </c>
      <c r="F8" s="63"/>
      <c r="G8" s="63"/>
      <c r="H8" s="26"/>
      <c r="I8" s="63"/>
      <c r="J8" s="63"/>
      <c r="K8" s="26"/>
      <c r="L8" s="63"/>
      <c r="M8" s="63"/>
      <c r="N8" s="26"/>
      <c r="O8" s="26"/>
      <c r="P8" s="26"/>
      <c r="Q8" s="27"/>
    </row>
    <row r="9" spans="1:18" s="25" customFormat="1" ht="15" customHeight="1">
      <c r="A9" s="26"/>
      <c r="B9" s="26"/>
      <c r="C9" s="26"/>
      <c r="D9" s="26"/>
      <c r="E9" s="26"/>
      <c r="F9" s="28"/>
      <c r="G9" s="26"/>
      <c r="H9" s="26"/>
      <c r="I9" s="28"/>
      <c r="J9" s="26"/>
      <c r="K9" s="26"/>
      <c r="L9" s="28"/>
      <c r="M9" s="26"/>
      <c r="N9" s="26"/>
      <c r="O9" s="26"/>
      <c r="P9" s="26"/>
      <c r="Q9" s="27"/>
    </row>
    <row r="10" spans="1:18" s="25" customFormat="1" ht="25.5" customHeight="1">
      <c r="A10" s="68" t="s">
        <v>44</v>
      </c>
      <c r="B10" s="68" t="s">
        <v>23</v>
      </c>
      <c r="C10" s="68" t="s">
        <v>34</v>
      </c>
      <c r="D10" s="68" t="s">
        <v>33</v>
      </c>
      <c r="E10" s="68" t="s">
        <v>41</v>
      </c>
      <c r="F10" s="68" t="s">
        <v>40</v>
      </c>
      <c r="G10" s="68" t="s">
        <v>24</v>
      </c>
      <c r="H10" s="68" t="s">
        <v>21</v>
      </c>
      <c r="I10" s="68" t="s">
        <v>42</v>
      </c>
      <c r="J10" s="68" t="s">
        <v>24</v>
      </c>
      <c r="K10" s="68" t="s">
        <v>21</v>
      </c>
      <c r="L10" s="68" t="s">
        <v>43</v>
      </c>
      <c r="M10" s="68" t="s">
        <v>24</v>
      </c>
      <c r="N10" s="68" t="s">
        <v>21</v>
      </c>
      <c r="O10" s="68" t="s">
        <v>25</v>
      </c>
      <c r="Q10" s="29"/>
    </row>
    <row r="11" spans="1:18" s="25" customFormat="1" ht="15.75" customHeight="1">
      <c r="A11" s="64" t="s">
        <v>214</v>
      </c>
      <c r="B11" s="64"/>
      <c r="C11" s="65"/>
      <c r="D11" s="65"/>
      <c r="E11" s="65"/>
      <c r="F11" s="109"/>
      <c r="G11" s="110" t="s">
        <v>51</v>
      </c>
      <c r="H11" s="109"/>
      <c r="I11" s="109"/>
      <c r="J11" s="110" t="s">
        <v>51</v>
      </c>
      <c r="K11" s="109"/>
      <c r="L11" s="109"/>
      <c r="M11" s="110" t="s">
        <v>51</v>
      </c>
      <c r="N11" s="109"/>
      <c r="O11" s="66"/>
      <c r="Q11" s="30"/>
    </row>
    <row r="12" spans="1:18" ht="45.6" customHeight="1" outlineLevel="1">
      <c r="A12" s="31" t="s">
        <v>215</v>
      </c>
      <c r="B12" s="31" t="s">
        <v>216</v>
      </c>
      <c r="C12" s="31" t="s">
        <v>217</v>
      </c>
      <c r="D12" s="33" t="s">
        <v>218</v>
      </c>
      <c r="E12" s="33" t="s">
        <v>219</v>
      </c>
      <c r="F12" s="111" t="s">
        <v>37</v>
      </c>
      <c r="G12" s="112" t="s">
        <v>57</v>
      </c>
      <c r="H12" s="111" t="s">
        <v>58</v>
      </c>
      <c r="I12" s="111" t="s">
        <v>37</v>
      </c>
      <c r="J12" s="112" t="s">
        <v>57</v>
      </c>
      <c r="K12" s="111" t="s">
        <v>58</v>
      </c>
      <c r="L12" s="111"/>
      <c r="M12" s="112" t="s">
        <v>51</v>
      </c>
      <c r="N12" s="111"/>
      <c r="O12" s="113" t="s">
        <v>59</v>
      </c>
      <c r="Q12" s="32"/>
    </row>
    <row r="13" spans="1:18" ht="32.4" customHeight="1" outlineLevel="1">
      <c r="A13" s="31" t="s">
        <v>220</v>
      </c>
      <c r="B13" s="31" t="s">
        <v>221</v>
      </c>
      <c r="C13" s="31" t="s">
        <v>222</v>
      </c>
      <c r="D13" s="33" t="s">
        <v>223</v>
      </c>
      <c r="E13" s="33" t="s">
        <v>224</v>
      </c>
      <c r="F13" s="111" t="s">
        <v>37</v>
      </c>
      <c r="G13" s="112" t="s">
        <v>57</v>
      </c>
      <c r="H13" s="111" t="s">
        <v>58</v>
      </c>
      <c r="I13" s="111" t="s">
        <v>37</v>
      </c>
      <c r="J13" s="112" t="s">
        <v>57</v>
      </c>
      <c r="K13" s="111" t="s">
        <v>58</v>
      </c>
      <c r="L13" s="111"/>
      <c r="M13" s="112" t="s">
        <v>51</v>
      </c>
      <c r="N13" s="111"/>
      <c r="O13" s="113" t="s">
        <v>59</v>
      </c>
      <c r="Q13" s="32"/>
    </row>
    <row r="14" spans="1:18" ht="32.4" customHeight="1" outlineLevel="1">
      <c r="A14" s="31" t="s">
        <v>225</v>
      </c>
      <c r="B14" s="31" t="s">
        <v>226</v>
      </c>
      <c r="C14" s="31" t="s">
        <v>227</v>
      </c>
      <c r="D14" s="33" t="s">
        <v>228</v>
      </c>
      <c r="E14" s="33" t="s">
        <v>229</v>
      </c>
      <c r="F14" s="111" t="s">
        <v>37</v>
      </c>
      <c r="G14" s="112" t="s">
        <v>57</v>
      </c>
      <c r="H14" s="111" t="s">
        <v>58</v>
      </c>
      <c r="I14" s="111" t="s">
        <v>37</v>
      </c>
      <c r="J14" s="112" t="s">
        <v>57</v>
      </c>
      <c r="K14" s="111" t="s">
        <v>58</v>
      </c>
      <c r="L14" s="111"/>
      <c r="M14" s="112" t="s">
        <v>51</v>
      </c>
      <c r="N14" s="111"/>
      <c r="O14" s="113" t="s">
        <v>59</v>
      </c>
      <c r="Q14" s="32"/>
    </row>
    <row r="15" spans="1:18" ht="32.4" customHeight="1" outlineLevel="1">
      <c r="A15" s="31" t="s">
        <v>230</v>
      </c>
      <c r="B15" s="31" t="s">
        <v>231</v>
      </c>
      <c r="C15" s="31" t="s">
        <v>232</v>
      </c>
      <c r="D15" s="33" t="s">
        <v>233</v>
      </c>
      <c r="E15" s="33" t="s">
        <v>105</v>
      </c>
      <c r="F15" s="111" t="s">
        <v>37</v>
      </c>
      <c r="G15" s="112" t="s">
        <v>57</v>
      </c>
      <c r="H15" s="111" t="s">
        <v>58</v>
      </c>
      <c r="I15" s="111" t="s">
        <v>37</v>
      </c>
      <c r="J15" s="112" t="s">
        <v>57</v>
      </c>
      <c r="K15" s="111" t="s">
        <v>58</v>
      </c>
      <c r="L15" s="111"/>
      <c r="M15" s="112" t="s">
        <v>51</v>
      </c>
      <c r="N15" s="111"/>
      <c r="O15" s="113" t="s">
        <v>59</v>
      </c>
      <c r="Q15" s="32"/>
    </row>
    <row r="16" spans="1:18" s="25" customFormat="1" ht="15.75" customHeight="1">
      <c r="A16" s="64" t="s">
        <v>234</v>
      </c>
      <c r="B16" s="64"/>
      <c r="C16" s="65"/>
      <c r="D16" s="65"/>
      <c r="E16" s="65"/>
      <c r="F16" s="109"/>
      <c r="G16" s="110" t="s">
        <v>51</v>
      </c>
      <c r="H16" s="109"/>
      <c r="I16" s="109"/>
      <c r="J16" s="110" t="s">
        <v>51</v>
      </c>
      <c r="K16" s="109"/>
      <c r="L16" s="109"/>
      <c r="M16" s="110" t="s">
        <v>51</v>
      </c>
      <c r="N16" s="109"/>
      <c r="O16" s="66"/>
      <c r="Q16" s="30"/>
    </row>
    <row r="17" spans="1:17" ht="45.6" customHeight="1" outlineLevel="1">
      <c r="A17" s="31" t="s">
        <v>235</v>
      </c>
      <c r="B17" s="31" t="s">
        <v>236</v>
      </c>
      <c r="C17" s="31" t="s">
        <v>237</v>
      </c>
      <c r="D17" s="33" t="s">
        <v>238</v>
      </c>
      <c r="E17" s="33" t="s">
        <v>239</v>
      </c>
      <c r="F17" s="111" t="s">
        <v>37</v>
      </c>
      <c r="G17" s="112" t="s">
        <v>57</v>
      </c>
      <c r="H17" s="111" t="s">
        <v>58</v>
      </c>
      <c r="I17" s="111" t="s">
        <v>37</v>
      </c>
      <c r="J17" s="112" t="s">
        <v>57</v>
      </c>
      <c r="K17" s="111" t="s">
        <v>58</v>
      </c>
      <c r="L17" s="111"/>
      <c r="M17" s="112" t="s">
        <v>51</v>
      </c>
      <c r="N17" s="111"/>
      <c r="O17" s="113" t="s">
        <v>59</v>
      </c>
      <c r="Q17" s="32"/>
    </row>
    <row r="18" spans="1:17" ht="32.4" customHeight="1" outlineLevel="1">
      <c r="A18" s="31" t="s">
        <v>240</v>
      </c>
      <c r="B18" s="31" t="s">
        <v>241</v>
      </c>
      <c r="C18" s="31" t="s">
        <v>242</v>
      </c>
      <c r="D18" s="33" t="s">
        <v>243</v>
      </c>
      <c r="E18" s="33" t="s">
        <v>244</v>
      </c>
      <c r="F18" s="111" t="s">
        <v>37</v>
      </c>
      <c r="G18" s="112" t="s">
        <v>57</v>
      </c>
      <c r="H18" s="111" t="s">
        <v>58</v>
      </c>
      <c r="I18" s="111" t="s">
        <v>37</v>
      </c>
      <c r="J18" s="112" t="s">
        <v>57</v>
      </c>
      <c r="K18" s="111" t="s">
        <v>58</v>
      </c>
      <c r="L18" s="111"/>
      <c r="M18" s="112" t="s">
        <v>51</v>
      </c>
      <c r="N18" s="111"/>
      <c r="O18" s="113" t="s">
        <v>59</v>
      </c>
      <c r="Q18" s="32"/>
    </row>
    <row r="19" spans="1:17" ht="32.4" customHeight="1" outlineLevel="1">
      <c r="A19" s="31" t="s">
        <v>245</v>
      </c>
      <c r="B19" s="31" t="s">
        <v>246</v>
      </c>
      <c r="C19" s="31" t="s">
        <v>247</v>
      </c>
      <c r="D19" s="33" t="s">
        <v>248</v>
      </c>
      <c r="E19" s="33" t="s">
        <v>249</v>
      </c>
      <c r="F19" s="111" t="s">
        <v>37</v>
      </c>
      <c r="G19" s="112" t="s">
        <v>57</v>
      </c>
      <c r="H19" s="111" t="s">
        <v>58</v>
      </c>
      <c r="I19" s="111" t="s">
        <v>37</v>
      </c>
      <c r="J19" s="112" t="s">
        <v>57</v>
      </c>
      <c r="K19" s="111" t="s">
        <v>58</v>
      </c>
      <c r="L19" s="111"/>
      <c r="M19" s="112" t="s">
        <v>51</v>
      </c>
      <c r="N19" s="111"/>
      <c r="O19" s="113" t="s">
        <v>59</v>
      </c>
      <c r="Q19" s="32"/>
    </row>
    <row r="20" spans="1:17" ht="45.6" customHeight="1" outlineLevel="1">
      <c r="A20" s="31" t="s">
        <v>250</v>
      </c>
      <c r="B20" s="31" t="s">
        <v>251</v>
      </c>
      <c r="C20" s="31" t="s">
        <v>252</v>
      </c>
      <c r="D20" s="33" t="s">
        <v>248</v>
      </c>
      <c r="E20" s="33" t="s">
        <v>253</v>
      </c>
      <c r="F20" s="111" t="s">
        <v>37</v>
      </c>
      <c r="G20" s="112" t="s">
        <v>57</v>
      </c>
      <c r="H20" s="111" t="s">
        <v>58</v>
      </c>
      <c r="I20" s="111" t="s">
        <v>37</v>
      </c>
      <c r="J20" s="112" t="s">
        <v>57</v>
      </c>
      <c r="K20" s="111" t="s">
        <v>58</v>
      </c>
      <c r="L20" s="111"/>
      <c r="M20" s="112" t="s">
        <v>51</v>
      </c>
      <c r="N20" s="111"/>
      <c r="O20" s="113" t="s">
        <v>59</v>
      </c>
      <c r="Q20" s="32"/>
    </row>
    <row r="21" spans="1:17" ht="32.4" customHeight="1" outlineLevel="1">
      <c r="A21" s="31" t="s">
        <v>254</v>
      </c>
      <c r="B21" s="31" t="s">
        <v>255</v>
      </c>
      <c r="C21" s="31" t="s">
        <v>256</v>
      </c>
      <c r="D21" s="33" t="s">
        <v>249</v>
      </c>
      <c r="E21" s="33" t="s">
        <v>257</v>
      </c>
      <c r="F21" s="111" t="s">
        <v>37</v>
      </c>
      <c r="G21" s="112" t="s">
        <v>57</v>
      </c>
      <c r="H21" s="111" t="s">
        <v>58</v>
      </c>
      <c r="I21" s="111" t="s">
        <v>37</v>
      </c>
      <c r="J21" s="112" t="s">
        <v>57</v>
      </c>
      <c r="K21" s="111" t="s">
        <v>58</v>
      </c>
      <c r="L21" s="111"/>
      <c r="M21" s="112" t="s">
        <v>51</v>
      </c>
      <c r="N21" s="111"/>
      <c r="O21" s="113" t="s">
        <v>59</v>
      </c>
      <c r="Q21" s="32"/>
    </row>
    <row r="22" spans="1:17" ht="32.4" customHeight="1" outlineLevel="1">
      <c r="A22" s="31" t="s">
        <v>258</v>
      </c>
      <c r="B22" s="31" t="s">
        <v>259</v>
      </c>
      <c r="C22" s="31" t="s">
        <v>260</v>
      </c>
      <c r="D22" s="33" t="s">
        <v>261</v>
      </c>
      <c r="E22" s="33" t="s">
        <v>262</v>
      </c>
      <c r="F22" s="111" t="s">
        <v>37</v>
      </c>
      <c r="G22" s="112" t="s">
        <v>57</v>
      </c>
      <c r="H22" s="111" t="s">
        <v>58</v>
      </c>
      <c r="I22" s="111" t="s">
        <v>37</v>
      </c>
      <c r="J22" s="112" t="s">
        <v>57</v>
      </c>
      <c r="K22" s="111" t="s">
        <v>58</v>
      </c>
      <c r="L22" s="111"/>
      <c r="M22" s="112" t="s">
        <v>51</v>
      </c>
      <c r="N22" s="111"/>
      <c r="O22" s="113" t="s">
        <v>59</v>
      </c>
      <c r="Q22" s="32"/>
    </row>
    <row r="23" spans="1:17" ht="45.6" customHeight="1" outlineLevel="1">
      <c r="A23" s="31" t="s">
        <v>263</v>
      </c>
      <c r="B23" s="31" t="s">
        <v>264</v>
      </c>
      <c r="C23" s="31" t="s">
        <v>265</v>
      </c>
      <c r="D23" s="33" t="s">
        <v>266</v>
      </c>
      <c r="E23" s="33" t="s">
        <v>267</v>
      </c>
      <c r="F23" s="111" t="s">
        <v>37</v>
      </c>
      <c r="G23" s="112" t="s">
        <v>57</v>
      </c>
      <c r="H23" s="111" t="s">
        <v>58</v>
      </c>
      <c r="I23" s="111" t="s">
        <v>37</v>
      </c>
      <c r="J23" s="112" t="s">
        <v>57</v>
      </c>
      <c r="K23" s="111" t="s">
        <v>58</v>
      </c>
      <c r="L23" s="111"/>
      <c r="M23" s="112" t="s">
        <v>51</v>
      </c>
      <c r="N23" s="111"/>
      <c r="O23" s="113" t="s">
        <v>59</v>
      </c>
      <c r="Q23" s="32"/>
    </row>
  </sheetData>
  <mergeCells count="3">
    <mergeCell ref="B2:E2"/>
    <mergeCell ref="B3:E3"/>
    <mergeCell ref="B4:E4"/>
  </mergeCells>
  <dataValidations count="3">
    <dataValidation allowBlank="1" showErrorMessage="1" sqref="F10 I10 L10" xr:uid="{D7375641-8FD5-41E2-8099-C82DB2FB8402}"/>
    <dataValidation type="list" allowBlank="1" showErrorMessage="1" sqref="G2:G3 G9 G24:G151 J2:J3 J9 J24:J151 M2:M3 M9 M24:M151" xr:uid="{BCDB2922-BE81-41E6-A550-D48A5BF25FA2}">
      <formula1>$R$2:$R$5</formula1>
      <formula2>0</formula2>
    </dataValidation>
    <dataValidation type="list" allowBlank="1" showInputMessage="1" showErrorMessage="1" sqref="F11:F23 I11:I23 L11:L23" xr:uid="{B463944E-F364-4912-BC57-81CBDD7EEAB9}">
      <formula1>$R$2:$R$5</formula1>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4B206-7279-4803-8DBE-71935CE95FA9}">
  <sheetPr>
    <outlinePr summaryBelow="0" summaryRight="0"/>
  </sheetPr>
  <dimension ref="A1:R18"/>
  <sheetViews>
    <sheetView zoomScale="85" zoomScaleNormal="85" workbookViewId="0">
      <pane ySplit="10" topLeftCell="A11" activePane="bottomLeft" state="frozen"/>
      <selection pane="bottomLeft"/>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14.77734375" style="1" customWidth="1" outlineLevel="1"/>
    <col min="9" max="9" width="9.33203125" style="1" customWidth="1"/>
    <col min="10" max="10" width="10.6640625" style="1" customWidth="1" outlineLevel="1"/>
    <col min="11" max="11" width="14.77734375" style="1" customWidth="1" outlineLevel="1"/>
    <col min="12" max="12" width="9.33203125" style="1" customWidth="1"/>
    <col min="13" max="13" width="10.6640625" style="1" customWidth="1" outlineLevel="1"/>
    <col min="14" max="14" width="14.77734375" style="1" customWidth="1" outlineLevel="1"/>
    <col min="15" max="15" width="28.6640625" style="1" customWidth="1"/>
    <col min="16" max="16" width="10.109375" style="1" customWidth="1"/>
    <col min="17" max="17" width="8.109375" style="23" customWidth="1"/>
    <col min="18" max="18" width="7.6640625" style="1" hidden="1" customWidth="1"/>
    <col min="19" max="16384" width="9" style="1"/>
  </cols>
  <sheetData>
    <row r="1" spans="1:18" ht="13.8" thickBot="1"/>
    <row r="2" spans="1:18" s="25" customFormat="1" ht="15" customHeight="1">
      <c r="A2" s="77" t="s">
        <v>35</v>
      </c>
      <c r="B2" s="105" t="s">
        <v>268</v>
      </c>
      <c r="C2" s="105"/>
      <c r="D2" s="105"/>
      <c r="E2" s="106"/>
      <c r="F2" s="67"/>
      <c r="G2" s="61"/>
      <c r="H2" s="9"/>
      <c r="I2" s="67"/>
      <c r="J2" s="61"/>
      <c r="K2" s="9"/>
      <c r="L2" s="67"/>
      <c r="M2" s="61"/>
      <c r="N2" s="9"/>
      <c r="O2" s="9"/>
      <c r="P2" s="9"/>
      <c r="Q2" s="24"/>
      <c r="R2" s="25" t="s">
        <v>37</v>
      </c>
    </row>
    <row r="3" spans="1:18" s="25" customFormat="1" ht="28.05" customHeight="1">
      <c r="A3" s="78" t="s">
        <v>20</v>
      </c>
      <c r="B3" s="107" t="s">
        <v>269</v>
      </c>
      <c r="C3" s="107"/>
      <c r="D3" s="107"/>
      <c r="E3" s="108"/>
      <c r="F3" s="67"/>
      <c r="G3" s="61"/>
      <c r="H3" s="9"/>
      <c r="I3" s="67"/>
      <c r="J3" s="61"/>
      <c r="K3" s="9"/>
      <c r="L3" s="67"/>
      <c r="M3" s="61"/>
      <c r="N3" s="9"/>
      <c r="O3" s="9"/>
      <c r="P3" s="9"/>
      <c r="Q3" s="24"/>
      <c r="R3" s="25" t="s">
        <v>38</v>
      </c>
    </row>
    <row r="4" spans="1:18" s="25" customFormat="1" ht="18" customHeight="1">
      <c r="A4" s="78" t="s">
        <v>45</v>
      </c>
      <c r="B4" s="107">
        <f>COUNTA(B11:B1999)</f>
        <v>6</v>
      </c>
      <c r="C4" s="107"/>
      <c r="D4" s="107"/>
      <c r="E4" s="108"/>
      <c r="F4" s="67"/>
      <c r="G4" s="61"/>
      <c r="H4" s="9"/>
      <c r="I4" s="67"/>
      <c r="J4" s="61"/>
      <c r="K4" s="9"/>
      <c r="L4" s="67"/>
      <c r="M4" s="61"/>
      <c r="N4" s="9"/>
      <c r="O4" s="9"/>
      <c r="P4" s="9"/>
      <c r="Q4" s="24"/>
      <c r="R4" s="25" t="s">
        <v>36</v>
      </c>
    </row>
    <row r="5" spans="1:18" s="25" customFormat="1" ht="19.5" customHeight="1">
      <c r="A5" s="71" t="s">
        <v>39</v>
      </c>
      <c r="B5" s="69" t="s">
        <v>37</v>
      </c>
      <c r="C5" s="69" t="s">
        <v>38</v>
      </c>
      <c r="D5" s="69" t="s">
        <v>36</v>
      </c>
      <c r="E5" s="72" t="s">
        <v>22</v>
      </c>
      <c r="F5" s="62"/>
      <c r="G5" s="62"/>
      <c r="H5" s="26"/>
      <c r="I5" s="62"/>
      <c r="J5" s="62"/>
      <c r="K5" s="26"/>
      <c r="L5" s="62"/>
      <c r="M5" s="62"/>
      <c r="N5" s="26"/>
      <c r="O5" s="26"/>
      <c r="P5" s="26"/>
      <c r="Q5" s="27"/>
      <c r="R5" s="25" t="s">
        <v>22</v>
      </c>
    </row>
    <row r="6" spans="1:18" s="25" customFormat="1" ht="15" customHeight="1">
      <c r="A6" s="71" t="s">
        <v>40</v>
      </c>
      <c r="B6" s="70">
        <f>COUNTIF($F$11:$F$1999,B$5)</f>
        <v>6</v>
      </c>
      <c r="C6" s="70">
        <f>COUNTIF($F$11:$F$1999,C$5)</f>
        <v>0</v>
      </c>
      <c r="D6" s="70">
        <f>COUNTIF($F$11:$F$1999,D$5)</f>
        <v>0</v>
      </c>
      <c r="E6" s="76">
        <f>COUNTIF($F$11:$F$1999,E$5)</f>
        <v>0</v>
      </c>
      <c r="F6" s="63"/>
      <c r="G6" s="63"/>
      <c r="H6" s="26"/>
      <c r="I6" s="63"/>
      <c r="J6" s="63"/>
      <c r="K6" s="26"/>
      <c r="L6" s="63"/>
      <c r="M6" s="63"/>
      <c r="N6" s="26"/>
      <c r="O6" s="26"/>
      <c r="P6" s="26"/>
      <c r="Q6" s="27"/>
    </row>
    <row r="7" spans="1:18" s="25" customFormat="1" ht="15" customHeight="1">
      <c r="A7" s="71" t="s">
        <v>42</v>
      </c>
      <c r="B7" s="70">
        <f>COUNTIF($I$11:$I$1999,B$5)</f>
        <v>6</v>
      </c>
      <c r="C7" s="70">
        <f>COUNTIF($I$11:$I$1999,C$5)</f>
        <v>0</v>
      </c>
      <c r="D7" s="70">
        <f>COUNTIF($I$11:$I$1999,D$5)</f>
        <v>0</v>
      </c>
      <c r="E7" s="76">
        <f>COUNTIF($I$11:$I$1999,E$5)</f>
        <v>0</v>
      </c>
      <c r="F7" s="63"/>
      <c r="G7" s="63"/>
      <c r="H7" s="26"/>
      <c r="I7" s="63"/>
      <c r="J7" s="63"/>
      <c r="K7" s="26"/>
      <c r="L7" s="63"/>
      <c r="M7" s="63"/>
      <c r="N7" s="26"/>
      <c r="O7" s="26"/>
      <c r="P7" s="26"/>
      <c r="Q7" s="27"/>
    </row>
    <row r="8" spans="1:18" s="25" customFormat="1" ht="15" customHeight="1" thickBot="1">
      <c r="A8" s="73" t="s">
        <v>43</v>
      </c>
      <c r="B8" s="74">
        <f>COUNTIF($L$11:$L$1999,B$5)</f>
        <v>0</v>
      </c>
      <c r="C8" s="74">
        <f>COUNTIF($L$11:$L$1999,C$5)</f>
        <v>0</v>
      </c>
      <c r="D8" s="74">
        <f>COUNTIF($L$11:$L$1999,D$5)</f>
        <v>0</v>
      </c>
      <c r="E8" s="75">
        <f>COUNTIF($L$11:$L$1999,E$5)</f>
        <v>0</v>
      </c>
      <c r="F8" s="63"/>
      <c r="G8" s="63"/>
      <c r="H8" s="26"/>
      <c r="I8" s="63"/>
      <c r="J8" s="63"/>
      <c r="K8" s="26"/>
      <c r="L8" s="63"/>
      <c r="M8" s="63"/>
      <c r="N8" s="26"/>
      <c r="O8" s="26"/>
      <c r="P8" s="26"/>
      <c r="Q8" s="27"/>
    </row>
    <row r="9" spans="1:18" s="25" customFormat="1" ht="15" customHeight="1">
      <c r="A9" s="26"/>
      <c r="B9" s="26"/>
      <c r="C9" s="26"/>
      <c r="D9" s="26"/>
      <c r="E9" s="26"/>
      <c r="F9" s="28"/>
      <c r="G9" s="26"/>
      <c r="H9" s="26"/>
      <c r="I9" s="28"/>
      <c r="J9" s="26"/>
      <c r="K9" s="26"/>
      <c r="L9" s="28"/>
      <c r="M9" s="26"/>
      <c r="N9" s="26"/>
      <c r="O9" s="26"/>
      <c r="P9" s="26"/>
      <c r="Q9" s="27"/>
    </row>
    <row r="10" spans="1:18" s="25" customFormat="1" ht="25.5" customHeight="1">
      <c r="A10" s="68" t="s">
        <v>44</v>
      </c>
      <c r="B10" s="68" t="s">
        <v>23</v>
      </c>
      <c r="C10" s="68" t="s">
        <v>34</v>
      </c>
      <c r="D10" s="68" t="s">
        <v>33</v>
      </c>
      <c r="E10" s="68" t="s">
        <v>41</v>
      </c>
      <c r="F10" s="68" t="s">
        <v>40</v>
      </c>
      <c r="G10" s="68" t="s">
        <v>24</v>
      </c>
      <c r="H10" s="68" t="s">
        <v>21</v>
      </c>
      <c r="I10" s="68" t="s">
        <v>42</v>
      </c>
      <c r="J10" s="68" t="s">
        <v>24</v>
      </c>
      <c r="K10" s="68" t="s">
        <v>21</v>
      </c>
      <c r="L10" s="68" t="s">
        <v>43</v>
      </c>
      <c r="M10" s="68" t="s">
        <v>24</v>
      </c>
      <c r="N10" s="68" t="s">
        <v>21</v>
      </c>
      <c r="O10" s="68" t="s">
        <v>25</v>
      </c>
      <c r="Q10" s="29"/>
    </row>
    <row r="11" spans="1:18" s="25" customFormat="1" ht="15.75" customHeight="1">
      <c r="A11" s="64" t="s">
        <v>270</v>
      </c>
      <c r="B11" s="64"/>
      <c r="C11" s="65"/>
      <c r="D11" s="65"/>
      <c r="E11" s="65"/>
      <c r="F11" s="109"/>
      <c r="G11" s="110" t="s">
        <v>51</v>
      </c>
      <c r="H11" s="109"/>
      <c r="I11" s="109"/>
      <c r="J11" s="110" t="s">
        <v>51</v>
      </c>
      <c r="K11" s="109"/>
      <c r="L11" s="109"/>
      <c r="M11" s="110" t="s">
        <v>51</v>
      </c>
      <c r="N11" s="109"/>
      <c r="O11" s="66"/>
      <c r="Q11" s="30"/>
    </row>
    <row r="12" spans="1:18" ht="45.6" customHeight="1" outlineLevel="1">
      <c r="A12" s="31" t="s">
        <v>271</v>
      </c>
      <c r="B12" s="31" t="s">
        <v>272</v>
      </c>
      <c r="C12" s="31" t="s">
        <v>273</v>
      </c>
      <c r="D12" s="33" t="s">
        <v>274</v>
      </c>
      <c r="E12" s="33" t="s">
        <v>275</v>
      </c>
      <c r="F12" s="111" t="s">
        <v>37</v>
      </c>
      <c r="G12" s="112" t="s">
        <v>57</v>
      </c>
      <c r="H12" s="111" t="s">
        <v>58</v>
      </c>
      <c r="I12" s="111" t="s">
        <v>37</v>
      </c>
      <c r="J12" s="112" t="s">
        <v>57</v>
      </c>
      <c r="K12" s="111" t="s">
        <v>58</v>
      </c>
      <c r="L12" s="111"/>
      <c r="M12" s="112" t="s">
        <v>51</v>
      </c>
      <c r="N12" s="111"/>
      <c r="O12" s="113" t="s">
        <v>59</v>
      </c>
      <c r="Q12" s="32"/>
    </row>
    <row r="13" spans="1:18" ht="32.4" customHeight="1" outlineLevel="1">
      <c r="A13" s="31" t="s">
        <v>276</v>
      </c>
      <c r="B13" s="31" t="s">
        <v>277</v>
      </c>
      <c r="C13" s="31" t="s">
        <v>278</v>
      </c>
      <c r="D13" s="33" t="s">
        <v>279</v>
      </c>
      <c r="E13" s="33" t="s">
        <v>280</v>
      </c>
      <c r="F13" s="111" t="s">
        <v>37</v>
      </c>
      <c r="G13" s="112" t="s">
        <v>57</v>
      </c>
      <c r="H13" s="111" t="s">
        <v>58</v>
      </c>
      <c r="I13" s="111" t="s">
        <v>37</v>
      </c>
      <c r="J13" s="112" t="s">
        <v>57</v>
      </c>
      <c r="K13" s="111" t="s">
        <v>58</v>
      </c>
      <c r="L13" s="111"/>
      <c r="M13" s="112" t="s">
        <v>51</v>
      </c>
      <c r="N13" s="111"/>
      <c r="O13" s="113" t="s">
        <v>59</v>
      </c>
      <c r="Q13" s="32"/>
    </row>
    <row r="14" spans="1:18" ht="32.4" customHeight="1" outlineLevel="1">
      <c r="A14" s="31" t="s">
        <v>281</v>
      </c>
      <c r="B14" s="31" t="s">
        <v>282</v>
      </c>
      <c r="C14" s="31" t="s">
        <v>283</v>
      </c>
      <c r="D14" s="33" t="s">
        <v>233</v>
      </c>
      <c r="E14" s="33" t="s">
        <v>105</v>
      </c>
      <c r="F14" s="111" t="s">
        <v>37</v>
      </c>
      <c r="G14" s="112" t="s">
        <v>57</v>
      </c>
      <c r="H14" s="111" t="s">
        <v>58</v>
      </c>
      <c r="I14" s="111" t="s">
        <v>37</v>
      </c>
      <c r="J14" s="112" t="s">
        <v>57</v>
      </c>
      <c r="K14" s="111" t="s">
        <v>58</v>
      </c>
      <c r="L14" s="111"/>
      <c r="M14" s="112" t="s">
        <v>51</v>
      </c>
      <c r="N14" s="111"/>
      <c r="O14" s="113" t="s">
        <v>59</v>
      </c>
      <c r="Q14" s="32"/>
    </row>
    <row r="15" spans="1:18" ht="58.8" customHeight="1" outlineLevel="1">
      <c r="A15" s="31" t="s">
        <v>284</v>
      </c>
      <c r="B15" s="31" t="s">
        <v>285</v>
      </c>
      <c r="C15" s="31" t="s">
        <v>286</v>
      </c>
      <c r="D15" s="33" t="s">
        <v>287</v>
      </c>
      <c r="E15" s="33" t="s">
        <v>105</v>
      </c>
      <c r="F15" s="111" t="s">
        <v>37</v>
      </c>
      <c r="G15" s="112" t="s">
        <v>57</v>
      </c>
      <c r="H15" s="111" t="s">
        <v>58</v>
      </c>
      <c r="I15" s="111" t="s">
        <v>37</v>
      </c>
      <c r="J15" s="112" t="s">
        <v>57</v>
      </c>
      <c r="K15" s="111" t="s">
        <v>58</v>
      </c>
      <c r="L15" s="111"/>
      <c r="M15" s="112" t="s">
        <v>51</v>
      </c>
      <c r="N15" s="111"/>
      <c r="O15" s="113" t="s">
        <v>59</v>
      </c>
      <c r="Q15" s="32"/>
    </row>
    <row r="16" spans="1:18" s="25" customFormat="1" ht="15.75" customHeight="1">
      <c r="A16" s="64" t="s">
        <v>288</v>
      </c>
      <c r="B16" s="64"/>
      <c r="C16" s="65"/>
      <c r="D16" s="65"/>
      <c r="E16" s="65"/>
      <c r="F16" s="109"/>
      <c r="G16" s="110" t="s">
        <v>51</v>
      </c>
      <c r="H16" s="109"/>
      <c r="I16" s="109"/>
      <c r="J16" s="110" t="s">
        <v>51</v>
      </c>
      <c r="K16" s="109"/>
      <c r="L16" s="109"/>
      <c r="M16" s="110" t="s">
        <v>51</v>
      </c>
      <c r="N16" s="109"/>
      <c r="O16" s="66"/>
      <c r="Q16" s="30"/>
    </row>
    <row r="17" spans="1:17" ht="32.4" customHeight="1" outlineLevel="1">
      <c r="A17" s="31" t="s">
        <v>289</v>
      </c>
      <c r="B17" s="31" t="s">
        <v>290</v>
      </c>
      <c r="C17" s="31" t="s">
        <v>291</v>
      </c>
      <c r="D17" s="33" t="s">
        <v>292</v>
      </c>
      <c r="E17" s="33" t="s">
        <v>293</v>
      </c>
      <c r="F17" s="111" t="s">
        <v>37</v>
      </c>
      <c r="G17" s="112" t="s">
        <v>57</v>
      </c>
      <c r="H17" s="111" t="s">
        <v>58</v>
      </c>
      <c r="I17" s="111" t="s">
        <v>37</v>
      </c>
      <c r="J17" s="112" t="s">
        <v>57</v>
      </c>
      <c r="K17" s="111" t="s">
        <v>58</v>
      </c>
      <c r="L17" s="111"/>
      <c r="M17" s="112" t="s">
        <v>51</v>
      </c>
      <c r="N17" s="111"/>
      <c r="O17" s="113" t="s">
        <v>59</v>
      </c>
      <c r="Q17" s="32"/>
    </row>
    <row r="18" spans="1:17" ht="32.4" customHeight="1" outlineLevel="1">
      <c r="A18" s="31" t="s">
        <v>294</v>
      </c>
      <c r="B18" s="31" t="s">
        <v>295</v>
      </c>
      <c r="C18" s="31" t="s">
        <v>296</v>
      </c>
      <c r="D18" s="33" t="s">
        <v>297</v>
      </c>
      <c r="E18" s="33" t="s">
        <v>298</v>
      </c>
      <c r="F18" s="111" t="s">
        <v>37</v>
      </c>
      <c r="G18" s="112" t="s">
        <v>57</v>
      </c>
      <c r="H18" s="111" t="s">
        <v>58</v>
      </c>
      <c r="I18" s="111" t="s">
        <v>37</v>
      </c>
      <c r="J18" s="112" t="s">
        <v>57</v>
      </c>
      <c r="K18" s="111" t="s">
        <v>58</v>
      </c>
      <c r="L18" s="111"/>
      <c r="M18" s="112" t="s">
        <v>51</v>
      </c>
      <c r="N18" s="111"/>
      <c r="O18" s="113" t="s">
        <v>59</v>
      </c>
      <c r="Q18" s="32"/>
    </row>
  </sheetData>
  <mergeCells count="3">
    <mergeCell ref="B2:E2"/>
    <mergeCell ref="B3:E3"/>
    <mergeCell ref="B4:E4"/>
  </mergeCells>
  <dataValidations count="3">
    <dataValidation allowBlank="1" showErrorMessage="1" sqref="F10 I10 L10" xr:uid="{48ECCE69-B299-4D03-B7BD-3A47A803EC32}"/>
    <dataValidation type="list" allowBlank="1" showErrorMessage="1" sqref="G2:G3 G9 G19:G146 J2:J3 J9 J19:J146 M2:M3 M9 M19:M146" xr:uid="{F2415FA0-3D5E-41F3-8E99-3B72B8DE9D4D}">
      <formula1>$R$2:$R$5</formula1>
      <formula2>0</formula2>
    </dataValidation>
    <dataValidation type="list" allowBlank="1" showInputMessage="1" showErrorMessage="1" sqref="F11:F18 I11:I18 L11:L18" xr:uid="{1316771A-D2B5-45D9-814F-93B06C7B2D49}">
      <formula1>$R$2:$R$5</formula1>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07104-95D2-48CA-A746-EE4C855F5A9E}">
  <sheetPr>
    <outlinePr summaryBelow="0" summaryRight="0"/>
  </sheetPr>
  <dimension ref="A1:R12"/>
  <sheetViews>
    <sheetView zoomScale="85" zoomScaleNormal="85" workbookViewId="0">
      <pane ySplit="10" topLeftCell="A11" activePane="bottomLeft" state="frozen"/>
      <selection pane="bottomLeft"/>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14.77734375" style="1" customWidth="1" outlineLevel="1"/>
    <col min="9" max="9" width="9.33203125" style="1" customWidth="1"/>
    <col min="10" max="10" width="10.6640625" style="1" customWidth="1" outlineLevel="1"/>
    <col min="11" max="11" width="14.77734375" style="1" customWidth="1" outlineLevel="1"/>
    <col min="12" max="12" width="9.33203125" style="1" customWidth="1"/>
    <col min="13" max="13" width="10.6640625" style="1" customWidth="1" outlineLevel="1"/>
    <col min="14" max="14" width="14.77734375" style="1" customWidth="1" outlineLevel="1"/>
    <col min="15" max="15" width="28.6640625" style="1" customWidth="1"/>
    <col min="16" max="16" width="10.109375" style="1" customWidth="1"/>
    <col min="17" max="17" width="8.109375" style="23" customWidth="1"/>
    <col min="18" max="18" width="7.6640625" style="1" hidden="1" customWidth="1"/>
    <col min="19" max="16384" width="9" style="1"/>
  </cols>
  <sheetData>
    <row r="1" spans="1:18" ht="13.8" thickBot="1"/>
    <row r="2" spans="1:18" s="25" customFormat="1" ht="15" customHeight="1">
      <c r="A2" s="77" t="s">
        <v>35</v>
      </c>
      <c r="B2" s="105" t="s">
        <v>299</v>
      </c>
      <c r="C2" s="105"/>
      <c r="D2" s="105"/>
      <c r="E2" s="106"/>
      <c r="F2" s="67"/>
      <c r="G2" s="61"/>
      <c r="H2" s="9"/>
      <c r="I2" s="67"/>
      <c r="J2" s="61"/>
      <c r="K2" s="9"/>
      <c r="L2" s="67"/>
      <c r="M2" s="61"/>
      <c r="N2" s="9"/>
      <c r="O2" s="9"/>
      <c r="P2" s="9"/>
      <c r="Q2" s="24"/>
      <c r="R2" s="25" t="s">
        <v>37</v>
      </c>
    </row>
    <row r="3" spans="1:18" s="25" customFormat="1" ht="28.05" customHeight="1">
      <c r="A3" s="78" t="s">
        <v>20</v>
      </c>
      <c r="B3" s="107" t="s">
        <v>300</v>
      </c>
      <c r="C3" s="107"/>
      <c r="D3" s="107"/>
      <c r="E3" s="108"/>
      <c r="F3" s="67"/>
      <c r="G3" s="61"/>
      <c r="H3" s="9"/>
      <c r="I3" s="67"/>
      <c r="J3" s="61"/>
      <c r="K3" s="9"/>
      <c r="L3" s="67"/>
      <c r="M3" s="61"/>
      <c r="N3" s="9"/>
      <c r="O3" s="9"/>
      <c r="P3" s="9"/>
      <c r="Q3" s="24"/>
      <c r="R3" s="25" t="s">
        <v>38</v>
      </c>
    </row>
    <row r="4" spans="1:18" s="25" customFormat="1" ht="18" customHeight="1">
      <c r="A4" s="78" t="s">
        <v>45</v>
      </c>
      <c r="B4" s="107">
        <f>COUNTA(B11:B1993)</f>
        <v>2</v>
      </c>
      <c r="C4" s="107"/>
      <c r="D4" s="107"/>
      <c r="E4" s="108"/>
      <c r="F4" s="67"/>
      <c r="G4" s="61"/>
      <c r="H4" s="9"/>
      <c r="I4" s="67"/>
      <c r="J4" s="61"/>
      <c r="K4" s="9"/>
      <c r="L4" s="67"/>
      <c r="M4" s="61"/>
      <c r="N4" s="9"/>
      <c r="O4" s="9"/>
      <c r="P4" s="9"/>
      <c r="Q4" s="24"/>
      <c r="R4" s="25" t="s">
        <v>36</v>
      </c>
    </row>
    <row r="5" spans="1:18" s="25" customFormat="1" ht="19.5" customHeight="1">
      <c r="A5" s="71" t="s">
        <v>39</v>
      </c>
      <c r="B5" s="69" t="s">
        <v>37</v>
      </c>
      <c r="C5" s="69" t="s">
        <v>38</v>
      </c>
      <c r="D5" s="69" t="s">
        <v>36</v>
      </c>
      <c r="E5" s="72" t="s">
        <v>22</v>
      </c>
      <c r="F5" s="62"/>
      <c r="G5" s="62"/>
      <c r="H5" s="26"/>
      <c r="I5" s="62"/>
      <c r="J5" s="62"/>
      <c r="K5" s="26"/>
      <c r="L5" s="62"/>
      <c r="M5" s="62"/>
      <c r="N5" s="26"/>
      <c r="O5" s="26"/>
      <c r="P5" s="26"/>
      <c r="Q5" s="27"/>
      <c r="R5" s="25" t="s">
        <v>22</v>
      </c>
    </row>
    <row r="6" spans="1:18" s="25" customFormat="1" ht="15" customHeight="1">
      <c r="A6" s="71" t="s">
        <v>40</v>
      </c>
      <c r="B6" s="70">
        <f>COUNTIF($F$11:$F$1993,B$5)</f>
        <v>2</v>
      </c>
      <c r="C6" s="70">
        <f>COUNTIF($F$11:$F$1993,C$5)</f>
        <v>0</v>
      </c>
      <c r="D6" s="70">
        <f>COUNTIF($F$11:$F$1993,D$5)</f>
        <v>0</v>
      </c>
      <c r="E6" s="76">
        <f>COUNTIF($F$11:$F$1993,E$5)</f>
        <v>0</v>
      </c>
      <c r="F6" s="63"/>
      <c r="G6" s="63"/>
      <c r="H6" s="26"/>
      <c r="I6" s="63"/>
      <c r="J6" s="63"/>
      <c r="K6" s="26"/>
      <c r="L6" s="63"/>
      <c r="M6" s="63"/>
      <c r="N6" s="26"/>
      <c r="O6" s="26"/>
      <c r="P6" s="26"/>
      <c r="Q6" s="27"/>
    </row>
    <row r="7" spans="1:18" s="25" customFormat="1" ht="15" customHeight="1">
      <c r="A7" s="71" t="s">
        <v>42</v>
      </c>
      <c r="B7" s="70">
        <f>COUNTIF($I$11:$I$1993,B$5)</f>
        <v>2</v>
      </c>
      <c r="C7" s="70">
        <f>COUNTIF($I$11:$I$1993,C$5)</f>
        <v>0</v>
      </c>
      <c r="D7" s="70">
        <f>COUNTIF($I$11:$I$1993,D$5)</f>
        <v>0</v>
      </c>
      <c r="E7" s="76">
        <f>COUNTIF($I$11:$I$1993,E$5)</f>
        <v>0</v>
      </c>
      <c r="F7" s="63"/>
      <c r="G7" s="63"/>
      <c r="H7" s="26"/>
      <c r="I7" s="63"/>
      <c r="J7" s="63"/>
      <c r="K7" s="26"/>
      <c r="L7" s="63"/>
      <c r="M7" s="63"/>
      <c r="N7" s="26"/>
      <c r="O7" s="26"/>
      <c r="P7" s="26"/>
      <c r="Q7" s="27"/>
    </row>
    <row r="8" spans="1:18" s="25" customFormat="1" ht="15" customHeight="1" thickBot="1">
      <c r="A8" s="73" t="s">
        <v>43</v>
      </c>
      <c r="B8" s="74">
        <f>COUNTIF($L$11:$L$1993,B$5)</f>
        <v>0</v>
      </c>
      <c r="C8" s="74">
        <f>COUNTIF($L$11:$L$1993,C$5)</f>
        <v>0</v>
      </c>
      <c r="D8" s="74">
        <f>COUNTIF($L$11:$L$1993,D$5)</f>
        <v>0</v>
      </c>
      <c r="E8" s="75">
        <f>COUNTIF($L$11:$L$1993,E$5)</f>
        <v>0</v>
      </c>
      <c r="F8" s="63"/>
      <c r="G8" s="63"/>
      <c r="H8" s="26"/>
      <c r="I8" s="63"/>
      <c r="J8" s="63"/>
      <c r="K8" s="26"/>
      <c r="L8" s="63"/>
      <c r="M8" s="63"/>
      <c r="N8" s="26"/>
      <c r="O8" s="26"/>
      <c r="P8" s="26"/>
      <c r="Q8" s="27"/>
    </row>
    <row r="9" spans="1:18" s="25" customFormat="1" ht="15" customHeight="1">
      <c r="A9" s="26"/>
      <c r="B9" s="26"/>
      <c r="C9" s="26"/>
      <c r="D9" s="26"/>
      <c r="E9" s="26"/>
      <c r="F9" s="28"/>
      <c r="G9" s="26"/>
      <c r="H9" s="26"/>
      <c r="I9" s="28"/>
      <c r="J9" s="26"/>
      <c r="K9" s="26"/>
      <c r="L9" s="28"/>
      <c r="M9" s="26"/>
      <c r="N9" s="26"/>
      <c r="O9" s="26"/>
      <c r="P9" s="26"/>
      <c r="Q9" s="27"/>
    </row>
    <row r="10" spans="1:18" s="25" customFormat="1" ht="25.5" customHeight="1">
      <c r="A10" s="68" t="s">
        <v>44</v>
      </c>
      <c r="B10" s="68" t="s">
        <v>23</v>
      </c>
      <c r="C10" s="68" t="s">
        <v>34</v>
      </c>
      <c r="D10" s="68" t="s">
        <v>33</v>
      </c>
      <c r="E10" s="68" t="s">
        <v>41</v>
      </c>
      <c r="F10" s="68" t="s">
        <v>40</v>
      </c>
      <c r="G10" s="68" t="s">
        <v>24</v>
      </c>
      <c r="H10" s="68" t="s">
        <v>21</v>
      </c>
      <c r="I10" s="68" t="s">
        <v>42</v>
      </c>
      <c r="J10" s="68" t="s">
        <v>24</v>
      </c>
      <c r="K10" s="68" t="s">
        <v>21</v>
      </c>
      <c r="L10" s="68" t="s">
        <v>43</v>
      </c>
      <c r="M10" s="68" t="s">
        <v>24</v>
      </c>
      <c r="N10" s="68" t="s">
        <v>21</v>
      </c>
      <c r="O10" s="68" t="s">
        <v>25</v>
      </c>
      <c r="Q10" s="29"/>
    </row>
    <row r="11" spans="1:18" ht="58.8" customHeight="1" outlineLevel="1">
      <c r="A11" s="31" t="s">
        <v>301</v>
      </c>
      <c r="B11" s="31" t="s">
        <v>302</v>
      </c>
      <c r="C11" s="31" t="s">
        <v>303</v>
      </c>
      <c r="D11" s="33" t="s">
        <v>304</v>
      </c>
      <c r="E11" s="33" t="s">
        <v>305</v>
      </c>
      <c r="F11" s="111" t="s">
        <v>37</v>
      </c>
      <c r="G11" s="112" t="s">
        <v>57</v>
      </c>
      <c r="H11" s="111" t="s">
        <v>58</v>
      </c>
      <c r="I11" s="111" t="s">
        <v>37</v>
      </c>
      <c r="J11" s="112" t="s">
        <v>57</v>
      </c>
      <c r="K11" s="111" t="s">
        <v>58</v>
      </c>
      <c r="L11" s="111"/>
      <c r="M11" s="112" t="s">
        <v>51</v>
      </c>
      <c r="N11" s="111"/>
      <c r="O11" s="113" t="s">
        <v>59</v>
      </c>
      <c r="Q11" s="32"/>
    </row>
    <row r="12" spans="1:18" ht="45.6" customHeight="1" outlineLevel="1">
      <c r="A12" s="31" t="s">
        <v>306</v>
      </c>
      <c r="B12" s="31" t="s">
        <v>307</v>
      </c>
      <c r="C12" s="31" t="s">
        <v>308</v>
      </c>
      <c r="D12" s="33" t="s">
        <v>309</v>
      </c>
      <c r="E12" s="33" t="s">
        <v>310</v>
      </c>
      <c r="F12" s="111" t="s">
        <v>37</v>
      </c>
      <c r="G12" s="112" t="s">
        <v>57</v>
      </c>
      <c r="H12" s="111" t="s">
        <v>58</v>
      </c>
      <c r="I12" s="111" t="s">
        <v>37</v>
      </c>
      <c r="J12" s="112" t="s">
        <v>57</v>
      </c>
      <c r="K12" s="111" t="s">
        <v>58</v>
      </c>
      <c r="L12" s="111"/>
      <c r="M12" s="112" t="s">
        <v>51</v>
      </c>
      <c r="N12" s="111"/>
      <c r="O12" s="113" t="s">
        <v>59</v>
      </c>
      <c r="Q12" s="32"/>
    </row>
  </sheetData>
  <mergeCells count="3">
    <mergeCell ref="B2:E2"/>
    <mergeCell ref="B3:E3"/>
    <mergeCell ref="B4:E4"/>
  </mergeCells>
  <dataValidations count="3">
    <dataValidation allowBlank="1" showErrorMessage="1" sqref="F10 I10 L10" xr:uid="{06B04BA5-5386-4566-A45F-0B0D3B7CB902}"/>
    <dataValidation type="list" allowBlank="1" showErrorMessage="1" sqref="G2:G3 G9 G13:G140 J2:J3 J9 J13:J140 M2:M3 M9 M13:M140" xr:uid="{B1296C4A-82BC-4590-B6FD-6777A225C551}">
      <formula1>$R$2:$R$5</formula1>
      <formula2>0</formula2>
    </dataValidation>
    <dataValidation type="list" allowBlank="1" showInputMessage="1" showErrorMessage="1" sqref="F11:F12 I11:I12 L11:L12" xr:uid="{4F0A28AA-5752-452E-87D6-D6F9457F8D81}">
      <formula1>$R$2:$R$5</formula1>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A9437-494F-4820-B7A3-D5EF949F5212}">
  <sheetPr>
    <outlinePr summaryBelow="0" summaryRight="0"/>
  </sheetPr>
  <dimension ref="A1:R25"/>
  <sheetViews>
    <sheetView zoomScale="85" zoomScaleNormal="85" workbookViewId="0">
      <pane ySplit="10" topLeftCell="A11" activePane="bottomLeft" state="frozen"/>
      <selection pane="bottomLeft"/>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14.77734375" style="1" customWidth="1" outlineLevel="1"/>
    <col min="9" max="9" width="9.33203125" style="1" customWidth="1"/>
    <col min="10" max="10" width="10.6640625" style="1" customWidth="1" outlineLevel="1"/>
    <col min="11" max="11" width="14.77734375" style="1" customWidth="1" outlineLevel="1"/>
    <col min="12" max="12" width="9.33203125" style="1" customWidth="1"/>
    <col min="13" max="13" width="10.6640625" style="1" customWidth="1" outlineLevel="1"/>
    <col min="14" max="14" width="14.77734375" style="1" customWidth="1" outlineLevel="1"/>
    <col min="15" max="15" width="28.6640625" style="1" customWidth="1"/>
    <col min="16" max="16" width="10.109375" style="1" customWidth="1"/>
    <col min="17" max="17" width="8.109375" style="23" customWidth="1"/>
    <col min="18" max="18" width="7.6640625" style="1" hidden="1" customWidth="1"/>
    <col min="19" max="16384" width="9" style="1"/>
  </cols>
  <sheetData>
    <row r="1" spans="1:18" ht="13.8" thickBot="1"/>
    <row r="2" spans="1:18" s="25" customFormat="1" ht="15" customHeight="1">
      <c r="A2" s="77" t="s">
        <v>35</v>
      </c>
      <c r="B2" s="105" t="s">
        <v>311</v>
      </c>
      <c r="C2" s="105"/>
      <c r="D2" s="105"/>
      <c r="E2" s="106"/>
      <c r="F2" s="67"/>
      <c r="G2" s="61"/>
      <c r="H2" s="9"/>
      <c r="I2" s="67"/>
      <c r="J2" s="61"/>
      <c r="K2" s="9"/>
      <c r="L2" s="67"/>
      <c r="M2" s="61"/>
      <c r="N2" s="9"/>
      <c r="O2" s="9"/>
      <c r="P2" s="9"/>
      <c r="Q2" s="24"/>
      <c r="R2" s="25" t="s">
        <v>37</v>
      </c>
    </row>
    <row r="3" spans="1:18" s="25" customFormat="1" ht="28.05" customHeight="1">
      <c r="A3" s="78" t="s">
        <v>20</v>
      </c>
      <c r="B3" s="107" t="s">
        <v>312</v>
      </c>
      <c r="C3" s="107"/>
      <c r="D3" s="107"/>
      <c r="E3" s="108"/>
      <c r="F3" s="67"/>
      <c r="G3" s="61"/>
      <c r="H3" s="9"/>
      <c r="I3" s="67"/>
      <c r="J3" s="61"/>
      <c r="K3" s="9"/>
      <c r="L3" s="67"/>
      <c r="M3" s="61"/>
      <c r="N3" s="9"/>
      <c r="O3" s="9"/>
      <c r="P3" s="9"/>
      <c r="Q3" s="24"/>
      <c r="R3" s="25" t="s">
        <v>38</v>
      </c>
    </row>
    <row r="4" spans="1:18" s="25" customFormat="1" ht="18" customHeight="1">
      <c r="A4" s="78" t="s">
        <v>45</v>
      </c>
      <c r="B4" s="107">
        <f>COUNTA(B11:B2006)</f>
        <v>15</v>
      </c>
      <c r="C4" s="107"/>
      <c r="D4" s="107"/>
      <c r="E4" s="108"/>
      <c r="F4" s="67"/>
      <c r="G4" s="61"/>
      <c r="H4" s="9"/>
      <c r="I4" s="67"/>
      <c r="J4" s="61"/>
      <c r="K4" s="9"/>
      <c r="L4" s="67"/>
      <c r="M4" s="61"/>
      <c r="N4" s="9"/>
      <c r="O4" s="9"/>
      <c r="P4" s="9"/>
      <c r="Q4" s="24"/>
      <c r="R4" s="25" t="s">
        <v>36</v>
      </c>
    </row>
    <row r="5" spans="1:18" s="25" customFormat="1" ht="19.5" customHeight="1">
      <c r="A5" s="71" t="s">
        <v>39</v>
      </c>
      <c r="B5" s="69" t="s">
        <v>37</v>
      </c>
      <c r="C5" s="69" t="s">
        <v>38</v>
      </c>
      <c r="D5" s="69" t="s">
        <v>36</v>
      </c>
      <c r="E5" s="72" t="s">
        <v>22</v>
      </c>
      <c r="F5" s="62"/>
      <c r="G5" s="62"/>
      <c r="H5" s="26"/>
      <c r="I5" s="62"/>
      <c r="J5" s="62"/>
      <c r="K5" s="26"/>
      <c r="L5" s="62"/>
      <c r="M5" s="62"/>
      <c r="N5" s="26"/>
      <c r="O5" s="26"/>
      <c r="P5" s="26"/>
      <c r="Q5" s="27"/>
      <c r="R5" s="25" t="s">
        <v>22</v>
      </c>
    </row>
    <row r="6" spans="1:18" s="25" customFormat="1" ht="15" customHeight="1">
      <c r="A6" s="71" t="s">
        <v>40</v>
      </c>
      <c r="B6" s="70">
        <f>COUNTIF($F$11:$F$2006,B$5)</f>
        <v>15</v>
      </c>
      <c r="C6" s="70">
        <f>COUNTIF($F$11:$F$2006,C$5)</f>
        <v>0</v>
      </c>
      <c r="D6" s="70">
        <f>COUNTIF($F$11:$F$2006,D$5)</f>
        <v>0</v>
      </c>
      <c r="E6" s="76">
        <f>COUNTIF($F$11:$F$2006,E$5)</f>
        <v>0</v>
      </c>
      <c r="F6" s="63"/>
      <c r="G6" s="63"/>
      <c r="H6" s="26"/>
      <c r="I6" s="63"/>
      <c r="J6" s="63"/>
      <c r="K6" s="26"/>
      <c r="L6" s="63"/>
      <c r="M6" s="63"/>
      <c r="N6" s="26"/>
      <c r="O6" s="26"/>
      <c r="P6" s="26"/>
      <c r="Q6" s="27"/>
    </row>
    <row r="7" spans="1:18" s="25" customFormat="1" ht="15" customHeight="1">
      <c r="A7" s="71" t="s">
        <v>42</v>
      </c>
      <c r="B7" s="70">
        <f>COUNTIF($I$11:$I$2006,B$5)</f>
        <v>15</v>
      </c>
      <c r="C7" s="70">
        <f>COUNTIF($I$11:$I$2006,C$5)</f>
        <v>0</v>
      </c>
      <c r="D7" s="70">
        <f>COUNTIF($I$11:$I$2006,D$5)</f>
        <v>0</v>
      </c>
      <c r="E7" s="76">
        <f>COUNTIF($I$11:$I$2006,E$5)</f>
        <v>0</v>
      </c>
      <c r="F7" s="63"/>
      <c r="G7" s="63"/>
      <c r="H7" s="26"/>
      <c r="I7" s="63"/>
      <c r="J7" s="63"/>
      <c r="K7" s="26"/>
      <c r="L7" s="63"/>
      <c r="M7" s="63"/>
      <c r="N7" s="26"/>
      <c r="O7" s="26"/>
      <c r="P7" s="26"/>
      <c r="Q7" s="27"/>
    </row>
    <row r="8" spans="1:18" s="25" customFormat="1" ht="15" customHeight="1" thickBot="1">
      <c r="A8" s="73" t="s">
        <v>43</v>
      </c>
      <c r="B8" s="74">
        <f>COUNTIF($L$11:$L$2006,B$5)</f>
        <v>0</v>
      </c>
      <c r="C8" s="74">
        <f>COUNTIF($L$11:$L$2006,C$5)</f>
        <v>0</v>
      </c>
      <c r="D8" s="74">
        <f>COUNTIF($L$11:$L$2006,D$5)</f>
        <v>0</v>
      </c>
      <c r="E8" s="75">
        <f>COUNTIF($L$11:$L$2006,E$5)</f>
        <v>0</v>
      </c>
      <c r="F8" s="63"/>
      <c r="G8" s="63"/>
      <c r="H8" s="26"/>
      <c r="I8" s="63"/>
      <c r="J8" s="63"/>
      <c r="K8" s="26"/>
      <c r="L8" s="63"/>
      <c r="M8" s="63"/>
      <c r="N8" s="26"/>
      <c r="O8" s="26"/>
      <c r="P8" s="26"/>
      <c r="Q8" s="27"/>
    </row>
    <row r="9" spans="1:18" s="25" customFormat="1" ht="15" customHeight="1">
      <c r="A9" s="26"/>
      <c r="B9" s="26"/>
      <c r="C9" s="26"/>
      <c r="D9" s="26"/>
      <c r="E9" s="26"/>
      <c r="F9" s="28"/>
      <c r="G9" s="26"/>
      <c r="H9" s="26"/>
      <c r="I9" s="28"/>
      <c r="J9" s="26"/>
      <c r="K9" s="26"/>
      <c r="L9" s="28"/>
      <c r="M9" s="26"/>
      <c r="N9" s="26"/>
      <c r="O9" s="26"/>
      <c r="P9" s="26"/>
      <c r="Q9" s="27"/>
    </row>
    <row r="10" spans="1:18" s="25" customFormat="1" ht="25.5" customHeight="1">
      <c r="A10" s="68" t="s">
        <v>44</v>
      </c>
      <c r="B10" s="68" t="s">
        <v>23</v>
      </c>
      <c r="C10" s="68" t="s">
        <v>34</v>
      </c>
      <c r="D10" s="68" t="s">
        <v>33</v>
      </c>
      <c r="E10" s="68" t="s">
        <v>41</v>
      </c>
      <c r="F10" s="68" t="s">
        <v>40</v>
      </c>
      <c r="G10" s="68" t="s">
        <v>24</v>
      </c>
      <c r="H10" s="68" t="s">
        <v>21</v>
      </c>
      <c r="I10" s="68" t="s">
        <v>42</v>
      </c>
      <c r="J10" s="68" t="s">
        <v>24</v>
      </c>
      <c r="K10" s="68" t="s">
        <v>21</v>
      </c>
      <c r="L10" s="68" t="s">
        <v>43</v>
      </c>
      <c r="M10" s="68" t="s">
        <v>24</v>
      </c>
      <c r="N10" s="68" t="s">
        <v>21</v>
      </c>
      <c r="O10" s="68" t="s">
        <v>25</v>
      </c>
      <c r="Q10" s="29"/>
    </row>
    <row r="11" spans="1:18" ht="45.6" customHeight="1" outlineLevel="1">
      <c r="A11" s="31" t="s">
        <v>313</v>
      </c>
      <c r="B11" s="31" t="s">
        <v>314</v>
      </c>
      <c r="C11" s="31" t="s">
        <v>315</v>
      </c>
      <c r="D11" s="33" t="s">
        <v>316</v>
      </c>
      <c r="E11" s="33" t="s">
        <v>317</v>
      </c>
      <c r="F11" s="111" t="s">
        <v>37</v>
      </c>
      <c r="G11" s="112" t="s">
        <v>57</v>
      </c>
      <c r="H11" s="111" t="s">
        <v>58</v>
      </c>
      <c r="I11" s="111" t="s">
        <v>37</v>
      </c>
      <c r="J11" s="112" t="s">
        <v>57</v>
      </c>
      <c r="K11" s="111" t="s">
        <v>58</v>
      </c>
      <c r="L11" s="111"/>
      <c r="M11" s="112" t="s">
        <v>51</v>
      </c>
      <c r="N11" s="111"/>
      <c r="O11" s="113" t="s">
        <v>59</v>
      </c>
      <c r="Q11" s="32"/>
    </row>
    <row r="12" spans="1:18" ht="32.4" customHeight="1" outlineLevel="1">
      <c r="A12" s="31" t="s">
        <v>318</v>
      </c>
      <c r="B12" s="31" t="s">
        <v>319</v>
      </c>
      <c r="C12" s="31" t="s">
        <v>320</v>
      </c>
      <c r="D12" s="33" t="s">
        <v>321</v>
      </c>
      <c r="E12" s="33" t="s">
        <v>317</v>
      </c>
      <c r="F12" s="111" t="s">
        <v>37</v>
      </c>
      <c r="G12" s="112" t="s">
        <v>57</v>
      </c>
      <c r="H12" s="111" t="s">
        <v>58</v>
      </c>
      <c r="I12" s="111" t="s">
        <v>37</v>
      </c>
      <c r="J12" s="112" t="s">
        <v>57</v>
      </c>
      <c r="K12" s="111" t="s">
        <v>58</v>
      </c>
      <c r="L12" s="111"/>
      <c r="M12" s="112" t="s">
        <v>51</v>
      </c>
      <c r="N12" s="111"/>
      <c r="O12" s="113" t="s">
        <v>59</v>
      </c>
      <c r="Q12" s="32"/>
    </row>
    <row r="13" spans="1:18" ht="45.6" customHeight="1" outlineLevel="1">
      <c r="A13" s="31" t="s">
        <v>322</v>
      </c>
      <c r="B13" s="31" t="s">
        <v>323</v>
      </c>
      <c r="C13" s="31" t="s">
        <v>324</v>
      </c>
      <c r="D13" s="33" t="s">
        <v>325</v>
      </c>
      <c r="E13" s="33" t="s">
        <v>326</v>
      </c>
      <c r="F13" s="111" t="s">
        <v>37</v>
      </c>
      <c r="G13" s="112" t="s">
        <v>57</v>
      </c>
      <c r="H13" s="111" t="s">
        <v>58</v>
      </c>
      <c r="I13" s="111" t="s">
        <v>37</v>
      </c>
      <c r="J13" s="112" t="s">
        <v>57</v>
      </c>
      <c r="K13" s="111" t="s">
        <v>58</v>
      </c>
      <c r="L13" s="111"/>
      <c r="M13" s="112" t="s">
        <v>51</v>
      </c>
      <c r="N13" s="111"/>
      <c r="O13" s="113" t="s">
        <v>59</v>
      </c>
      <c r="Q13" s="32"/>
    </row>
    <row r="14" spans="1:18" ht="32.4" customHeight="1" outlineLevel="1">
      <c r="A14" s="31" t="s">
        <v>327</v>
      </c>
      <c r="B14" s="31" t="s">
        <v>328</v>
      </c>
      <c r="C14" s="31" t="s">
        <v>329</v>
      </c>
      <c r="D14" s="33" t="s">
        <v>325</v>
      </c>
      <c r="E14" s="33" t="s">
        <v>330</v>
      </c>
      <c r="F14" s="111" t="s">
        <v>37</v>
      </c>
      <c r="G14" s="112" t="s">
        <v>57</v>
      </c>
      <c r="H14" s="111" t="s">
        <v>58</v>
      </c>
      <c r="I14" s="111" t="s">
        <v>37</v>
      </c>
      <c r="J14" s="112" t="s">
        <v>57</v>
      </c>
      <c r="K14" s="111" t="s">
        <v>58</v>
      </c>
      <c r="L14" s="111"/>
      <c r="M14" s="112" t="s">
        <v>51</v>
      </c>
      <c r="N14" s="111"/>
      <c r="O14" s="113" t="s">
        <v>59</v>
      </c>
      <c r="Q14" s="32"/>
    </row>
    <row r="15" spans="1:18" ht="32.4" customHeight="1" outlineLevel="1">
      <c r="A15" s="31" t="s">
        <v>331</v>
      </c>
      <c r="B15" s="31" t="s">
        <v>332</v>
      </c>
      <c r="C15" s="31" t="s">
        <v>333</v>
      </c>
      <c r="D15" s="33" t="s">
        <v>325</v>
      </c>
      <c r="E15" s="33" t="s">
        <v>334</v>
      </c>
      <c r="F15" s="111" t="s">
        <v>37</v>
      </c>
      <c r="G15" s="112" t="s">
        <v>57</v>
      </c>
      <c r="H15" s="111" t="s">
        <v>58</v>
      </c>
      <c r="I15" s="111" t="s">
        <v>37</v>
      </c>
      <c r="J15" s="112" t="s">
        <v>57</v>
      </c>
      <c r="K15" s="111" t="s">
        <v>58</v>
      </c>
      <c r="L15" s="111"/>
      <c r="M15" s="112" t="s">
        <v>51</v>
      </c>
      <c r="N15" s="111"/>
      <c r="O15" s="113" t="s">
        <v>59</v>
      </c>
      <c r="Q15" s="32"/>
    </row>
    <row r="16" spans="1:18" ht="32.4" customHeight="1" outlineLevel="1">
      <c r="A16" s="31" t="s">
        <v>335</v>
      </c>
      <c r="B16" s="31" t="s">
        <v>336</v>
      </c>
      <c r="C16" s="31" t="s">
        <v>337</v>
      </c>
      <c r="D16" s="33" t="s">
        <v>338</v>
      </c>
      <c r="E16" s="33" t="s">
        <v>339</v>
      </c>
      <c r="F16" s="111" t="s">
        <v>37</v>
      </c>
      <c r="G16" s="112" t="s">
        <v>57</v>
      </c>
      <c r="H16" s="111" t="s">
        <v>58</v>
      </c>
      <c r="I16" s="111" t="s">
        <v>37</v>
      </c>
      <c r="J16" s="112" t="s">
        <v>57</v>
      </c>
      <c r="K16" s="111" t="s">
        <v>58</v>
      </c>
      <c r="L16" s="111"/>
      <c r="M16" s="112" t="s">
        <v>51</v>
      </c>
      <c r="N16" s="111"/>
      <c r="O16" s="113" t="s">
        <v>59</v>
      </c>
      <c r="Q16" s="32"/>
    </row>
    <row r="17" spans="1:17" ht="32.4" customHeight="1" outlineLevel="1">
      <c r="A17" s="31" t="s">
        <v>340</v>
      </c>
      <c r="B17" s="31" t="s">
        <v>341</v>
      </c>
      <c r="C17" s="31" t="s">
        <v>342</v>
      </c>
      <c r="D17" s="33" t="s">
        <v>343</v>
      </c>
      <c r="E17" s="33" t="s">
        <v>344</v>
      </c>
      <c r="F17" s="111" t="s">
        <v>37</v>
      </c>
      <c r="G17" s="112" t="s">
        <v>57</v>
      </c>
      <c r="H17" s="111" t="s">
        <v>58</v>
      </c>
      <c r="I17" s="111" t="s">
        <v>37</v>
      </c>
      <c r="J17" s="112" t="s">
        <v>57</v>
      </c>
      <c r="K17" s="111" t="s">
        <v>58</v>
      </c>
      <c r="L17" s="111"/>
      <c r="M17" s="112" t="s">
        <v>51</v>
      </c>
      <c r="N17" s="111"/>
      <c r="O17" s="113" t="s">
        <v>59</v>
      </c>
      <c r="Q17" s="32"/>
    </row>
    <row r="18" spans="1:17" ht="32.4" customHeight="1" outlineLevel="1">
      <c r="A18" s="31" t="s">
        <v>345</v>
      </c>
      <c r="B18" s="31" t="s">
        <v>346</v>
      </c>
      <c r="C18" s="31" t="s">
        <v>347</v>
      </c>
      <c r="D18" s="33" t="s">
        <v>348</v>
      </c>
      <c r="E18" s="33" t="s">
        <v>339</v>
      </c>
      <c r="F18" s="111" t="s">
        <v>37</v>
      </c>
      <c r="G18" s="112" t="s">
        <v>57</v>
      </c>
      <c r="H18" s="111" t="s">
        <v>58</v>
      </c>
      <c r="I18" s="111" t="s">
        <v>37</v>
      </c>
      <c r="J18" s="112" t="s">
        <v>57</v>
      </c>
      <c r="K18" s="111" t="s">
        <v>58</v>
      </c>
      <c r="L18" s="111"/>
      <c r="M18" s="112" t="s">
        <v>51</v>
      </c>
      <c r="N18" s="111"/>
      <c r="O18" s="113" t="s">
        <v>59</v>
      </c>
      <c r="Q18" s="32"/>
    </row>
    <row r="19" spans="1:17" ht="32.4" customHeight="1" outlineLevel="1">
      <c r="A19" s="31" t="s">
        <v>349</v>
      </c>
      <c r="B19" s="31" t="s">
        <v>350</v>
      </c>
      <c r="C19" s="31" t="s">
        <v>351</v>
      </c>
      <c r="D19" s="33" t="s">
        <v>352</v>
      </c>
      <c r="E19" s="33" t="s">
        <v>353</v>
      </c>
      <c r="F19" s="111" t="s">
        <v>37</v>
      </c>
      <c r="G19" s="112" t="s">
        <v>57</v>
      </c>
      <c r="H19" s="111" t="s">
        <v>58</v>
      </c>
      <c r="I19" s="111" t="s">
        <v>37</v>
      </c>
      <c r="J19" s="112" t="s">
        <v>57</v>
      </c>
      <c r="K19" s="111" t="s">
        <v>58</v>
      </c>
      <c r="L19" s="111"/>
      <c r="M19" s="112" t="s">
        <v>51</v>
      </c>
      <c r="N19" s="111"/>
      <c r="O19" s="113" t="s">
        <v>59</v>
      </c>
      <c r="Q19" s="32"/>
    </row>
    <row r="20" spans="1:17" ht="32.4" customHeight="1" outlineLevel="1">
      <c r="A20" s="31" t="s">
        <v>354</v>
      </c>
      <c r="B20" s="31" t="s">
        <v>355</v>
      </c>
      <c r="C20" s="31" t="s">
        <v>356</v>
      </c>
      <c r="D20" s="33" t="s">
        <v>325</v>
      </c>
      <c r="E20" s="33" t="s">
        <v>353</v>
      </c>
      <c r="F20" s="111" t="s">
        <v>37</v>
      </c>
      <c r="G20" s="112" t="s">
        <v>57</v>
      </c>
      <c r="H20" s="111" t="s">
        <v>58</v>
      </c>
      <c r="I20" s="111" t="s">
        <v>37</v>
      </c>
      <c r="J20" s="112" t="s">
        <v>57</v>
      </c>
      <c r="K20" s="111" t="s">
        <v>58</v>
      </c>
      <c r="L20" s="111"/>
      <c r="M20" s="112" t="s">
        <v>51</v>
      </c>
      <c r="N20" s="111"/>
      <c r="O20" s="113" t="s">
        <v>59</v>
      </c>
      <c r="Q20" s="32"/>
    </row>
    <row r="21" spans="1:17" ht="45.6" customHeight="1" outlineLevel="1">
      <c r="A21" s="31" t="s">
        <v>357</v>
      </c>
      <c r="B21" s="31" t="s">
        <v>358</v>
      </c>
      <c r="C21" s="31" t="s">
        <v>359</v>
      </c>
      <c r="D21" s="33" t="s">
        <v>360</v>
      </c>
      <c r="E21" s="33" t="s">
        <v>361</v>
      </c>
      <c r="F21" s="111" t="s">
        <v>37</v>
      </c>
      <c r="G21" s="112" t="s">
        <v>57</v>
      </c>
      <c r="H21" s="111" t="s">
        <v>58</v>
      </c>
      <c r="I21" s="111" t="s">
        <v>37</v>
      </c>
      <c r="J21" s="112" t="s">
        <v>57</v>
      </c>
      <c r="K21" s="111" t="s">
        <v>58</v>
      </c>
      <c r="L21" s="111"/>
      <c r="M21" s="112" t="s">
        <v>51</v>
      </c>
      <c r="N21" s="111"/>
      <c r="O21" s="113" t="s">
        <v>59</v>
      </c>
      <c r="Q21" s="32"/>
    </row>
    <row r="22" spans="1:17" ht="32.4" customHeight="1" outlineLevel="1">
      <c r="A22" s="31" t="s">
        <v>362</v>
      </c>
      <c r="B22" s="31" t="s">
        <v>363</v>
      </c>
      <c r="C22" s="31" t="s">
        <v>364</v>
      </c>
      <c r="D22" s="33" t="s">
        <v>365</v>
      </c>
      <c r="E22" s="33" t="s">
        <v>366</v>
      </c>
      <c r="F22" s="111" t="s">
        <v>37</v>
      </c>
      <c r="G22" s="112" t="s">
        <v>57</v>
      </c>
      <c r="H22" s="111" t="s">
        <v>58</v>
      </c>
      <c r="I22" s="111" t="s">
        <v>37</v>
      </c>
      <c r="J22" s="112" t="s">
        <v>57</v>
      </c>
      <c r="K22" s="111" t="s">
        <v>58</v>
      </c>
      <c r="L22" s="111"/>
      <c r="M22" s="112" t="s">
        <v>51</v>
      </c>
      <c r="N22" s="111"/>
      <c r="O22" s="113" t="s">
        <v>59</v>
      </c>
      <c r="Q22" s="32"/>
    </row>
    <row r="23" spans="1:17" ht="32.4" customHeight="1" outlineLevel="1">
      <c r="A23" s="31" t="s">
        <v>367</v>
      </c>
      <c r="B23" s="31" t="s">
        <v>368</v>
      </c>
      <c r="C23" s="31" t="s">
        <v>369</v>
      </c>
      <c r="D23" s="33" t="s">
        <v>365</v>
      </c>
      <c r="E23" s="33" t="s">
        <v>370</v>
      </c>
      <c r="F23" s="111" t="s">
        <v>37</v>
      </c>
      <c r="G23" s="112" t="s">
        <v>57</v>
      </c>
      <c r="H23" s="111" t="s">
        <v>58</v>
      </c>
      <c r="I23" s="111" t="s">
        <v>37</v>
      </c>
      <c r="J23" s="112" t="s">
        <v>57</v>
      </c>
      <c r="K23" s="111" t="s">
        <v>58</v>
      </c>
      <c r="L23" s="111"/>
      <c r="M23" s="112" t="s">
        <v>51</v>
      </c>
      <c r="N23" s="111"/>
      <c r="O23" s="113" t="s">
        <v>59</v>
      </c>
      <c r="Q23" s="32"/>
    </row>
    <row r="24" spans="1:17" ht="32.4" customHeight="1" outlineLevel="1">
      <c r="A24" s="31" t="s">
        <v>371</v>
      </c>
      <c r="B24" s="31" t="s">
        <v>372</v>
      </c>
      <c r="C24" s="31" t="s">
        <v>373</v>
      </c>
      <c r="D24" s="33" t="s">
        <v>374</v>
      </c>
      <c r="E24" s="33" t="s">
        <v>366</v>
      </c>
      <c r="F24" s="111" t="s">
        <v>37</v>
      </c>
      <c r="G24" s="112" t="s">
        <v>57</v>
      </c>
      <c r="H24" s="111" t="s">
        <v>58</v>
      </c>
      <c r="I24" s="111" t="s">
        <v>37</v>
      </c>
      <c r="J24" s="112" t="s">
        <v>57</v>
      </c>
      <c r="K24" s="111" t="s">
        <v>58</v>
      </c>
      <c r="L24" s="111"/>
      <c r="M24" s="112" t="s">
        <v>51</v>
      </c>
      <c r="N24" s="111"/>
      <c r="O24" s="113" t="s">
        <v>59</v>
      </c>
      <c r="Q24" s="32"/>
    </row>
    <row r="25" spans="1:17" ht="32.4" customHeight="1" outlineLevel="1">
      <c r="A25" s="31" t="s">
        <v>375</v>
      </c>
      <c r="B25" s="31" t="s">
        <v>376</v>
      </c>
      <c r="C25" s="31" t="s">
        <v>377</v>
      </c>
      <c r="D25" s="33" t="s">
        <v>378</v>
      </c>
      <c r="E25" s="33" t="s">
        <v>379</v>
      </c>
      <c r="F25" s="111" t="s">
        <v>37</v>
      </c>
      <c r="G25" s="112" t="s">
        <v>57</v>
      </c>
      <c r="H25" s="111" t="s">
        <v>58</v>
      </c>
      <c r="I25" s="111" t="s">
        <v>37</v>
      </c>
      <c r="J25" s="112" t="s">
        <v>57</v>
      </c>
      <c r="K25" s="111" t="s">
        <v>58</v>
      </c>
      <c r="L25" s="111"/>
      <c r="M25" s="112" t="s">
        <v>51</v>
      </c>
      <c r="N25" s="111"/>
      <c r="O25" s="113" t="s">
        <v>59</v>
      </c>
      <c r="Q25" s="32"/>
    </row>
  </sheetData>
  <mergeCells count="3">
    <mergeCell ref="B2:E2"/>
    <mergeCell ref="B3:E3"/>
    <mergeCell ref="B4:E4"/>
  </mergeCells>
  <dataValidations count="3">
    <dataValidation allowBlank="1" showErrorMessage="1" sqref="F10 I10 L10" xr:uid="{227F82B2-5620-4702-95F4-156581F9D206}"/>
    <dataValidation type="list" allowBlank="1" showErrorMessage="1" sqref="G2:G3 G9 G26:G153 J2:J3 J9 J26:J153 M2:M3 M9 M26:M153" xr:uid="{45855732-CE0C-40B3-8A05-F9FEAB85B0C8}">
      <formula1>$R$2:$R$5</formula1>
      <formula2>0</formula2>
    </dataValidation>
    <dataValidation type="list" allowBlank="1" showInputMessage="1" showErrorMessage="1" sqref="F11:F25 I11:I25 L11:L25" xr:uid="{3174474B-978E-4605-AE0F-C9CC8B4FC87D}">
      <formula1>$R$2:$R$5</formula1>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47842-2B9F-4A49-BFE8-9FD86207C631}">
  <sheetPr>
    <outlinePr summaryBelow="0" summaryRight="0"/>
  </sheetPr>
  <dimension ref="A1:R35"/>
  <sheetViews>
    <sheetView zoomScale="85" zoomScaleNormal="85" workbookViewId="0">
      <pane ySplit="10" topLeftCell="A11" activePane="bottomLeft" state="frozen"/>
      <selection pane="bottomLeft"/>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14.77734375" style="1" customWidth="1" outlineLevel="1"/>
    <col min="9" max="9" width="9.33203125" style="1" customWidth="1"/>
    <col min="10" max="10" width="10.6640625" style="1" customWidth="1" outlineLevel="1"/>
    <col min="11" max="11" width="14.77734375" style="1" customWidth="1" outlineLevel="1"/>
    <col min="12" max="12" width="9.33203125" style="1" customWidth="1"/>
    <col min="13" max="13" width="10.6640625" style="1" customWidth="1" outlineLevel="1"/>
    <col min="14" max="14" width="14.77734375" style="1" customWidth="1" outlineLevel="1"/>
    <col min="15" max="15" width="28.6640625" style="1" customWidth="1"/>
    <col min="16" max="16" width="10.109375" style="1" customWidth="1"/>
    <col min="17" max="17" width="8.109375" style="23" customWidth="1"/>
    <col min="18" max="18" width="7.6640625" style="1" hidden="1" customWidth="1"/>
    <col min="19" max="16384" width="9" style="1"/>
  </cols>
  <sheetData>
    <row r="1" spans="1:18" ht="13.8" thickBot="1"/>
    <row r="2" spans="1:18" s="25" customFormat="1" ht="15" customHeight="1">
      <c r="A2" s="77" t="s">
        <v>35</v>
      </c>
      <c r="B2" s="105" t="s">
        <v>380</v>
      </c>
      <c r="C2" s="105"/>
      <c r="D2" s="105"/>
      <c r="E2" s="106"/>
      <c r="F2" s="67"/>
      <c r="G2" s="61"/>
      <c r="H2" s="9"/>
      <c r="I2" s="67"/>
      <c r="J2" s="61"/>
      <c r="K2" s="9"/>
      <c r="L2" s="67"/>
      <c r="M2" s="61"/>
      <c r="N2" s="9"/>
      <c r="O2" s="9"/>
      <c r="P2" s="9"/>
      <c r="Q2" s="24"/>
      <c r="R2" s="25" t="s">
        <v>37</v>
      </c>
    </row>
    <row r="3" spans="1:18" s="25" customFormat="1" ht="28.05" customHeight="1">
      <c r="A3" s="78" t="s">
        <v>20</v>
      </c>
      <c r="B3" s="107" t="s">
        <v>381</v>
      </c>
      <c r="C3" s="107"/>
      <c r="D3" s="107"/>
      <c r="E3" s="108"/>
      <c r="F3" s="67"/>
      <c r="G3" s="61"/>
      <c r="H3" s="9"/>
      <c r="I3" s="67"/>
      <c r="J3" s="61"/>
      <c r="K3" s="9"/>
      <c r="L3" s="67"/>
      <c r="M3" s="61"/>
      <c r="N3" s="9"/>
      <c r="O3" s="9"/>
      <c r="P3" s="9"/>
      <c r="Q3" s="24"/>
      <c r="R3" s="25" t="s">
        <v>38</v>
      </c>
    </row>
    <row r="4" spans="1:18" s="25" customFormat="1" ht="18" customHeight="1">
      <c r="A4" s="78" t="s">
        <v>45</v>
      </c>
      <c r="B4" s="107">
        <f>COUNTA(B11:B2016)</f>
        <v>21</v>
      </c>
      <c r="C4" s="107"/>
      <c r="D4" s="107"/>
      <c r="E4" s="108"/>
      <c r="F4" s="67"/>
      <c r="G4" s="61"/>
      <c r="H4" s="9"/>
      <c r="I4" s="67"/>
      <c r="J4" s="61"/>
      <c r="K4" s="9"/>
      <c r="L4" s="67"/>
      <c r="M4" s="61"/>
      <c r="N4" s="9"/>
      <c r="O4" s="9"/>
      <c r="P4" s="9"/>
      <c r="Q4" s="24"/>
      <c r="R4" s="25" t="s">
        <v>36</v>
      </c>
    </row>
    <row r="5" spans="1:18" s="25" customFormat="1" ht="19.5" customHeight="1">
      <c r="A5" s="71" t="s">
        <v>39</v>
      </c>
      <c r="B5" s="69" t="s">
        <v>37</v>
      </c>
      <c r="C5" s="69" t="s">
        <v>38</v>
      </c>
      <c r="D5" s="69" t="s">
        <v>36</v>
      </c>
      <c r="E5" s="72" t="s">
        <v>22</v>
      </c>
      <c r="F5" s="62"/>
      <c r="G5" s="62"/>
      <c r="H5" s="26"/>
      <c r="I5" s="62"/>
      <c r="J5" s="62"/>
      <c r="K5" s="26"/>
      <c r="L5" s="62"/>
      <c r="M5" s="62"/>
      <c r="N5" s="26"/>
      <c r="O5" s="26"/>
      <c r="P5" s="26"/>
      <c r="Q5" s="27"/>
      <c r="R5" s="25" t="s">
        <v>22</v>
      </c>
    </row>
    <row r="6" spans="1:18" s="25" customFormat="1" ht="15" customHeight="1">
      <c r="A6" s="71" t="s">
        <v>40</v>
      </c>
      <c r="B6" s="70">
        <f>COUNTIF($F$11:$F$2016,B$5)</f>
        <v>21</v>
      </c>
      <c r="C6" s="70">
        <f>COUNTIF($F$11:$F$2016,C$5)</f>
        <v>0</v>
      </c>
      <c r="D6" s="70">
        <f>COUNTIF($F$11:$F$2016,D$5)</f>
        <v>0</v>
      </c>
      <c r="E6" s="76">
        <f>COUNTIF($F$11:$F$2016,E$5)</f>
        <v>0</v>
      </c>
      <c r="F6" s="63"/>
      <c r="G6" s="63"/>
      <c r="H6" s="26"/>
      <c r="I6" s="63"/>
      <c r="J6" s="63"/>
      <c r="K6" s="26"/>
      <c r="L6" s="63"/>
      <c r="M6" s="63"/>
      <c r="N6" s="26"/>
      <c r="O6" s="26"/>
      <c r="P6" s="26"/>
      <c r="Q6" s="27"/>
    </row>
    <row r="7" spans="1:18" s="25" customFormat="1" ht="15" customHeight="1">
      <c r="A7" s="71" t="s">
        <v>42</v>
      </c>
      <c r="B7" s="70">
        <f>COUNTIF($I$11:$I$2016,B$5)</f>
        <v>21</v>
      </c>
      <c r="C7" s="70">
        <f>COUNTIF($I$11:$I$2016,C$5)</f>
        <v>0</v>
      </c>
      <c r="D7" s="70">
        <f>COUNTIF($I$11:$I$2016,D$5)</f>
        <v>0</v>
      </c>
      <c r="E7" s="76">
        <f>COUNTIF($I$11:$I$2016,E$5)</f>
        <v>0</v>
      </c>
      <c r="F7" s="63"/>
      <c r="G7" s="63"/>
      <c r="H7" s="26"/>
      <c r="I7" s="63"/>
      <c r="J7" s="63"/>
      <c r="K7" s="26"/>
      <c r="L7" s="63"/>
      <c r="M7" s="63"/>
      <c r="N7" s="26"/>
      <c r="O7" s="26"/>
      <c r="P7" s="26"/>
      <c r="Q7" s="27"/>
    </row>
    <row r="8" spans="1:18" s="25" customFormat="1" ht="15" customHeight="1" thickBot="1">
      <c r="A8" s="73" t="s">
        <v>43</v>
      </c>
      <c r="B8" s="74">
        <f>COUNTIF($L$11:$L$2016,B$5)</f>
        <v>0</v>
      </c>
      <c r="C8" s="74">
        <f>COUNTIF($L$11:$L$2016,C$5)</f>
        <v>0</v>
      </c>
      <c r="D8" s="74">
        <f>COUNTIF($L$11:$L$2016,D$5)</f>
        <v>0</v>
      </c>
      <c r="E8" s="75">
        <f>COUNTIF($L$11:$L$2016,E$5)</f>
        <v>0</v>
      </c>
      <c r="F8" s="63"/>
      <c r="G8" s="63"/>
      <c r="H8" s="26"/>
      <c r="I8" s="63"/>
      <c r="J8" s="63"/>
      <c r="K8" s="26"/>
      <c r="L8" s="63"/>
      <c r="M8" s="63"/>
      <c r="N8" s="26"/>
      <c r="O8" s="26"/>
      <c r="P8" s="26"/>
      <c r="Q8" s="27"/>
    </row>
    <row r="9" spans="1:18" s="25" customFormat="1" ht="15" customHeight="1">
      <c r="A9" s="26"/>
      <c r="B9" s="26"/>
      <c r="C9" s="26"/>
      <c r="D9" s="26"/>
      <c r="E9" s="26"/>
      <c r="F9" s="28"/>
      <c r="G9" s="26"/>
      <c r="H9" s="26"/>
      <c r="I9" s="28"/>
      <c r="J9" s="26"/>
      <c r="K9" s="26"/>
      <c r="L9" s="28"/>
      <c r="M9" s="26"/>
      <c r="N9" s="26"/>
      <c r="O9" s="26"/>
      <c r="P9" s="26"/>
      <c r="Q9" s="27"/>
    </row>
    <row r="10" spans="1:18" s="25" customFormat="1" ht="25.5" customHeight="1">
      <c r="A10" s="68" t="s">
        <v>44</v>
      </c>
      <c r="B10" s="68" t="s">
        <v>23</v>
      </c>
      <c r="C10" s="68" t="s">
        <v>34</v>
      </c>
      <c r="D10" s="68" t="s">
        <v>33</v>
      </c>
      <c r="E10" s="68" t="s">
        <v>41</v>
      </c>
      <c r="F10" s="68" t="s">
        <v>40</v>
      </c>
      <c r="G10" s="68" t="s">
        <v>24</v>
      </c>
      <c r="H10" s="68" t="s">
        <v>21</v>
      </c>
      <c r="I10" s="68" t="s">
        <v>42</v>
      </c>
      <c r="J10" s="68" t="s">
        <v>24</v>
      </c>
      <c r="K10" s="68" t="s">
        <v>21</v>
      </c>
      <c r="L10" s="68" t="s">
        <v>43</v>
      </c>
      <c r="M10" s="68" t="s">
        <v>24</v>
      </c>
      <c r="N10" s="68" t="s">
        <v>21</v>
      </c>
      <c r="O10" s="68" t="s">
        <v>25</v>
      </c>
      <c r="Q10" s="29"/>
    </row>
    <row r="11" spans="1:18" s="25" customFormat="1" ht="15.75" customHeight="1">
      <c r="A11" s="64" t="s">
        <v>382</v>
      </c>
      <c r="B11" s="64"/>
      <c r="C11" s="65"/>
      <c r="D11" s="65"/>
      <c r="E11" s="65"/>
      <c r="F11" s="109"/>
      <c r="G11" s="110" t="s">
        <v>51</v>
      </c>
      <c r="H11" s="109"/>
      <c r="I11" s="109"/>
      <c r="J11" s="110" t="s">
        <v>51</v>
      </c>
      <c r="K11" s="109"/>
      <c r="L11" s="109"/>
      <c r="M11" s="110" t="s">
        <v>51</v>
      </c>
      <c r="N11" s="109"/>
      <c r="O11" s="66"/>
      <c r="Q11" s="30"/>
    </row>
    <row r="12" spans="1:18" ht="32.4" customHeight="1" outlineLevel="1">
      <c r="A12" s="31" t="s">
        <v>383</v>
      </c>
      <c r="B12" s="31" t="s">
        <v>384</v>
      </c>
      <c r="C12" s="31" t="s">
        <v>385</v>
      </c>
      <c r="D12" s="33" t="s">
        <v>386</v>
      </c>
      <c r="E12" s="33" t="s">
        <v>387</v>
      </c>
      <c r="F12" s="111" t="s">
        <v>37</v>
      </c>
      <c r="G12" s="112" t="s">
        <v>57</v>
      </c>
      <c r="H12" s="111" t="s">
        <v>58</v>
      </c>
      <c r="I12" s="111" t="s">
        <v>37</v>
      </c>
      <c r="J12" s="112" t="s">
        <v>57</v>
      </c>
      <c r="K12" s="111" t="s">
        <v>58</v>
      </c>
      <c r="L12" s="111"/>
      <c r="M12" s="112" t="s">
        <v>51</v>
      </c>
      <c r="N12" s="111"/>
      <c r="O12" s="113" t="s">
        <v>59</v>
      </c>
      <c r="Q12" s="32"/>
    </row>
    <row r="13" spans="1:18" ht="45.6" customHeight="1" outlineLevel="1">
      <c r="A13" s="31" t="s">
        <v>388</v>
      </c>
      <c r="B13" s="31" t="s">
        <v>389</v>
      </c>
      <c r="C13" s="31" t="s">
        <v>390</v>
      </c>
      <c r="D13" s="33" t="s">
        <v>391</v>
      </c>
      <c r="E13" s="33" t="s">
        <v>387</v>
      </c>
      <c r="F13" s="111" t="s">
        <v>37</v>
      </c>
      <c r="G13" s="112" t="s">
        <v>57</v>
      </c>
      <c r="H13" s="111" t="s">
        <v>58</v>
      </c>
      <c r="I13" s="111" t="s">
        <v>37</v>
      </c>
      <c r="J13" s="112" t="s">
        <v>57</v>
      </c>
      <c r="K13" s="111" t="s">
        <v>58</v>
      </c>
      <c r="L13" s="111"/>
      <c r="M13" s="112" t="s">
        <v>51</v>
      </c>
      <c r="N13" s="111"/>
      <c r="O13" s="113" t="s">
        <v>59</v>
      </c>
      <c r="Q13" s="32"/>
    </row>
    <row r="14" spans="1:18" ht="45.6" customHeight="1" outlineLevel="1">
      <c r="A14" s="31" t="s">
        <v>392</v>
      </c>
      <c r="B14" s="31" t="s">
        <v>393</v>
      </c>
      <c r="C14" s="31" t="s">
        <v>394</v>
      </c>
      <c r="D14" s="33" t="s">
        <v>395</v>
      </c>
      <c r="E14" s="33" t="s">
        <v>387</v>
      </c>
      <c r="F14" s="111" t="s">
        <v>37</v>
      </c>
      <c r="G14" s="112" t="s">
        <v>57</v>
      </c>
      <c r="H14" s="111" t="s">
        <v>58</v>
      </c>
      <c r="I14" s="111" t="s">
        <v>37</v>
      </c>
      <c r="J14" s="112" t="s">
        <v>57</v>
      </c>
      <c r="K14" s="111" t="s">
        <v>58</v>
      </c>
      <c r="L14" s="111"/>
      <c r="M14" s="112" t="s">
        <v>51</v>
      </c>
      <c r="N14" s="111"/>
      <c r="O14" s="113" t="s">
        <v>59</v>
      </c>
      <c r="Q14" s="32"/>
    </row>
    <row r="15" spans="1:18" ht="45.6" customHeight="1" outlineLevel="1">
      <c r="A15" s="31" t="s">
        <v>396</v>
      </c>
      <c r="B15" s="31" t="s">
        <v>397</v>
      </c>
      <c r="C15" s="31" t="s">
        <v>398</v>
      </c>
      <c r="D15" s="33" t="s">
        <v>399</v>
      </c>
      <c r="E15" s="33" t="s">
        <v>400</v>
      </c>
      <c r="F15" s="111" t="s">
        <v>37</v>
      </c>
      <c r="G15" s="112" t="s">
        <v>57</v>
      </c>
      <c r="H15" s="111" t="s">
        <v>58</v>
      </c>
      <c r="I15" s="111" t="s">
        <v>37</v>
      </c>
      <c r="J15" s="112" t="s">
        <v>57</v>
      </c>
      <c r="K15" s="111" t="s">
        <v>58</v>
      </c>
      <c r="L15" s="111"/>
      <c r="M15" s="112" t="s">
        <v>51</v>
      </c>
      <c r="N15" s="111"/>
      <c r="O15" s="113" t="s">
        <v>59</v>
      </c>
      <c r="Q15" s="32"/>
    </row>
    <row r="16" spans="1:18" ht="45.6" customHeight="1" outlineLevel="1">
      <c r="A16" s="31" t="s">
        <v>401</v>
      </c>
      <c r="B16" s="31" t="s">
        <v>402</v>
      </c>
      <c r="C16" s="31" t="s">
        <v>403</v>
      </c>
      <c r="D16" s="33" t="s">
        <v>404</v>
      </c>
      <c r="E16" s="33" t="s">
        <v>400</v>
      </c>
      <c r="F16" s="111" t="s">
        <v>37</v>
      </c>
      <c r="G16" s="112" t="s">
        <v>57</v>
      </c>
      <c r="H16" s="111" t="s">
        <v>58</v>
      </c>
      <c r="I16" s="111" t="s">
        <v>37</v>
      </c>
      <c r="J16" s="112" t="s">
        <v>57</v>
      </c>
      <c r="K16" s="111" t="s">
        <v>58</v>
      </c>
      <c r="L16" s="111"/>
      <c r="M16" s="112" t="s">
        <v>51</v>
      </c>
      <c r="N16" s="111"/>
      <c r="O16" s="113" t="s">
        <v>59</v>
      </c>
      <c r="Q16" s="32"/>
    </row>
    <row r="17" spans="1:17" ht="32.4" customHeight="1" outlineLevel="1">
      <c r="A17" s="31" t="s">
        <v>405</v>
      </c>
      <c r="B17" s="31" t="s">
        <v>406</v>
      </c>
      <c r="C17" s="31" t="s">
        <v>407</v>
      </c>
      <c r="D17" s="33" t="s">
        <v>408</v>
      </c>
      <c r="E17" s="33" t="s">
        <v>387</v>
      </c>
      <c r="F17" s="111" t="s">
        <v>37</v>
      </c>
      <c r="G17" s="112" t="s">
        <v>57</v>
      </c>
      <c r="H17" s="111" t="s">
        <v>58</v>
      </c>
      <c r="I17" s="111" t="s">
        <v>37</v>
      </c>
      <c r="J17" s="112" t="s">
        <v>57</v>
      </c>
      <c r="K17" s="111" t="s">
        <v>58</v>
      </c>
      <c r="L17" s="111"/>
      <c r="M17" s="112" t="s">
        <v>51</v>
      </c>
      <c r="N17" s="111"/>
      <c r="O17" s="113" t="s">
        <v>59</v>
      </c>
      <c r="Q17" s="32"/>
    </row>
    <row r="18" spans="1:17" ht="32.4" customHeight="1" outlineLevel="1">
      <c r="A18" s="31" t="s">
        <v>409</v>
      </c>
      <c r="B18" s="31" t="s">
        <v>410</v>
      </c>
      <c r="C18" s="31" t="s">
        <v>403</v>
      </c>
      <c r="D18" s="33" t="s">
        <v>408</v>
      </c>
      <c r="E18" s="33" t="s">
        <v>387</v>
      </c>
      <c r="F18" s="111" t="s">
        <v>37</v>
      </c>
      <c r="G18" s="112" t="s">
        <v>57</v>
      </c>
      <c r="H18" s="111" t="s">
        <v>58</v>
      </c>
      <c r="I18" s="111" t="s">
        <v>37</v>
      </c>
      <c r="J18" s="112" t="s">
        <v>57</v>
      </c>
      <c r="K18" s="111" t="s">
        <v>58</v>
      </c>
      <c r="L18" s="111"/>
      <c r="M18" s="112" t="s">
        <v>51</v>
      </c>
      <c r="N18" s="111"/>
      <c r="O18" s="113" t="s">
        <v>59</v>
      </c>
      <c r="Q18" s="32"/>
    </row>
    <row r="19" spans="1:17" s="25" customFormat="1" ht="15.75" customHeight="1">
      <c r="A19" s="64" t="s">
        <v>411</v>
      </c>
      <c r="B19" s="64"/>
      <c r="C19" s="65"/>
      <c r="D19" s="65"/>
      <c r="E19" s="65"/>
      <c r="F19" s="109"/>
      <c r="G19" s="110" t="s">
        <v>51</v>
      </c>
      <c r="H19" s="109"/>
      <c r="I19" s="109"/>
      <c r="J19" s="110" t="s">
        <v>51</v>
      </c>
      <c r="K19" s="109"/>
      <c r="L19" s="109"/>
      <c r="M19" s="110" t="s">
        <v>51</v>
      </c>
      <c r="N19" s="109"/>
      <c r="O19" s="66"/>
      <c r="Q19" s="30"/>
    </row>
    <row r="20" spans="1:17" ht="45.6" customHeight="1" outlineLevel="1">
      <c r="A20" s="31" t="s">
        <v>412</v>
      </c>
      <c r="B20" s="31" t="s">
        <v>413</v>
      </c>
      <c r="C20" s="31" t="s">
        <v>414</v>
      </c>
      <c r="D20" s="33" t="s">
        <v>415</v>
      </c>
      <c r="E20" s="33" t="s">
        <v>416</v>
      </c>
      <c r="F20" s="111" t="s">
        <v>37</v>
      </c>
      <c r="G20" s="112" t="s">
        <v>57</v>
      </c>
      <c r="H20" s="111" t="s">
        <v>58</v>
      </c>
      <c r="I20" s="111" t="s">
        <v>37</v>
      </c>
      <c r="J20" s="112" t="s">
        <v>57</v>
      </c>
      <c r="K20" s="111" t="s">
        <v>58</v>
      </c>
      <c r="L20" s="111"/>
      <c r="M20" s="112" t="s">
        <v>51</v>
      </c>
      <c r="N20" s="111"/>
      <c r="O20" s="113" t="s">
        <v>59</v>
      </c>
      <c r="Q20" s="32"/>
    </row>
    <row r="21" spans="1:17" ht="32.4" customHeight="1" outlineLevel="1">
      <c r="A21" s="31" t="s">
        <v>417</v>
      </c>
      <c r="B21" s="31" t="s">
        <v>418</v>
      </c>
      <c r="C21" s="31" t="s">
        <v>419</v>
      </c>
      <c r="D21" s="33" t="s">
        <v>420</v>
      </c>
      <c r="E21" s="33" t="s">
        <v>387</v>
      </c>
      <c r="F21" s="111" t="s">
        <v>37</v>
      </c>
      <c r="G21" s="112" t="s">
        <v>57</v>
      </c>
      <c r="H21" s="111" t="s">
        <v>58</v>
      </c>
      <c r="I21" s="111" t="s">
        <v>37</v>
      </c>
      <c r="J21" s="112" t="s">
        <v>57</v>
      </c>
      <c r="K21" s="111" t="s">
        <v>58</v>
      </c>
      <c r="L21" s="111"/>
      <c r="M21" s="112" t="s">
        <v>51</v>
      </c>
      <c r="N21" s="111"/>
      <c r="O21" s="113" t="s">
        <v>59</v>
      </c>
      <c r="Q21" s="32"/>
    </row>
    <row r="22" spans="1:17" s="25" customFormat="1" ht="15.75" customHeight="1">
      <c r="A22" s="64" t="s">
        <v>421</v>
      </c>
      <c r="B22" s="64"/>
      <c r="C22" s="65"/>
      <c r="D22" s="65"/>
      <c r="E22" s="65"/>
      <c r="F22" s="109"/>
      <c r="G22" s="110" t="s">
        <v>51</v>
      </c>
      <c r="H22" s="109"/>
      <c r="I22" s="109"/>
      <c r="J22" s="110" t="s">
        <v>51</v>
      </c>
      <c r="K22" s="109"/>
      <c r="L22" s="109"/>
      <c r="M22" s="110" t="s">
        <v>51</v>
      </c>
      <c r="N22" s="109"/>
      <c r="O22" s="66"/>
      <c r="Q22" s="30"/>
    </row>
    <row r="23" spans="1:17" ht="32.4" customHeight="1" outlineLevel="1">
      <c r="A23" s="31" t="s">
        <v>422</v>
      </c>
      <c r="B23" s="31" t="s">
        <v>423</v>
      </c>
      <c r="C23" s="31" t="s">
        <v>424</v>
      </c>
      <c r="D23" s="33" t="s">
        <v>425</v>
      </c>
      <c r="E23" s="33" t="s">
        <v>387</v>
      </c>
      <c r="F23" s="111" t="s">
        <v>37</v>
      </c>
      <c r="G23" s="112" t="s">
        <v>57</v>
      </c>
      <c r="H23" s="111" t="s">
        <v>58</v>
      </c>
      <c r="I23" s="111" t="s">
        <v>37</v>
      </c>
      <c r="J23" s="112" t="s">
        <v>57</v>
      </c>
      <c r="K23" s="111" t="s">
        <v>58</v>
      </c>
      <c r="L23" s="111"/>
      <c r="M23" s="112" t="s">
        <v>51</v>
      </c>
      <c r="N23" s="111"/>
      <c r="O23" s="113" t="s">
        <v>59</v>
      </c>
      <c r="Q23" s="32"/>
    </row>
    <row r="24" spans="1:17" ht="45.6" customHeight="1" outlineLevel="1">
      <c r="A24" s="31" t="s">
        <v>426</v>
      </c>
      <c r="B24" s="31" t="s">
        <v>427</v>
      </c>
      <c r="C24" s="31" t="s">
        <v>428</v>
      </c>
      <c r="D24" s="33" t="s">
        <v>425</v>
      </c>
      <c r="E24" s="33" t="s">
        <v>387</v>
      </c>
      <c r="F24" s="111" t="s">
        <v>37</v>
      </c>
      <c r="G24" s="112" t="s">
        <v>57</v>
      </c>
      <c r="H24" s="111" t="s">
        <v>58</v>
      </c>
      <c r="I24" s="111" t="s">
        <v>37</v>
      </c>
      <c r="J24" s="112" t="s">
        <v>57</v>
      </c>
      <c r="K24" s="111" t="s">
        <v>58</v>
      </c>
      <c r="L24" s="111"/>
      <c r="M24" s="112" t="s">
        <v>51</v>
      </c>
      <c r="N24" s="111"/>
      <c r="O24" s="113" t="s">
        <v>59</v>
      </c>
      <c r="Q24" s="32"/>
    </row>
    <row r="25" spans="1:17" ht="45.6" customHeight="1" outlineLevel="1">
      <c r="A25" s="31" t="s">
        <v>429</v>
      </c>
      <c r="B25" s="31" t="s">
        <v>430</v>
      </c>
      <c r="C25" s="31" t="s">
        <v>431</v>
      </c>
      <c r="D25" s="33" t="s">
        <v>432</v>
      </c>
      <c r="E25" s="33" t="s">
        <v>387</v>
      </c>
      <c r="F25" s="111" t="s">
        <v>37</v>
      </c>
      <c r="G25" s="112" t="s">
        <v>57</v>
      </c>
      <c r="H25" s="111" t="s">
        <v>58</v>
      </c>
      <c r="I25" s="111" t="s">
        <v>37</v>
      </c>
      <c r="J25" s="112" t="s">
        <v>57</v>
      </c>
      <c r="K25" s="111" t="s">
        <v>58</v>
      </c>
      <c r="L25" s="111"/>
      <c r="M25" s="112" t="s">
        <v>51</v>
      </c>
      <c r="N25" s="111"/>
      <c r="O25" s="113" t="s">
        <v>59</v>
      </c>
      <c r="Q25" s="32"/>
    </row>
    <row r="26" spans="1:17" s="25" customFormat="1" ht="15.75" customHeight="1">
      <c r="A26" s="64" t="s">
        <v>433</v>
      </c>
      <c r="B26" s="64"/>
      <c r="C26" s="65"/>
      <c r="D26" s="65"/>
      <c r="E26" s="65"/>
      <c r="F26" s="109"/>
      <c r="G26" s="110" t="s">
        <v>51</v>
      </c>
      <c r="H26" s="109"/>
      <c r="I26" s="109"/>
      <c r="J26" s="110" t="s">
        <v>51</v>
      </c>
      <c r="K26" s="109"/>
      <c r="L26" s="109"/>
      <c r="M26" s="110" t="s">
        <v>51</v>
      </c>
      <c r="N26" s="109"/>
      <c r="O26" s="66"/>
      <c r="Q26" s="30"/>
    </row>
    <row r="27" spans="1:17" ht="32.4" customHeight="1" outlineLevel="1">
      <c r="A27" s="31" t="s">
        <v>434</v>
      </c>
      <c r="B27" s="31" t="s">
        <v>435</v>
      </c>
      <c r="C27" s="31" t="s">
        <v>436</v>
      </c>
      <c r="D27" s="33" t="s">
        <v>437</v>
      </c>
      <c r="E27" s="33" t="s">
        <v>105</v>
      </c>
      <c r="F27" s="111" t="s">
        <v>37</v>
      </c>
      <c r="G27" s="112" t="s">
        <v>57</v>
      </c>
      <c r="H27" s="111" t="s">
        <v>58</v>
      </c>
      <c r="I27" s="111" t="s">
        <v>37</v>
      </c>
      <c r="J27" s="112" t="s">
        <v>57</v>
      </c>
      <c r="K27" s="111" t="s">
        <v>58</v>
      </c>
      <c r="L27" s="111"/>
      <c r="M27" s="112" t="s">
        <v>51</v>
      </c>
      <c r="N27" s="111"/>
      <c r="O27" s="113" t="s">
        <v>59</v>
      </c>
      <c r="Q27" s="32"/>
    </row>
    <row r="28" spans="1:17" ht="32.4" customHeight="1" outlineLevel="1">
      <c r="A28" s="31" t="s">
        <v>438</v>
      </c>
      <c r="B28" s="31" t="s">
        <v>439</v>
      </c>
      <c r="C28" s="31" t="s">
        <v>440</v>
      </c>
      <c r="D28" s="33" t="s">
        <v>437</v>
      </c>
      <c r="E28" s="33" t="s">
        <v>105</v>
      </c>
      <c r="F28" s="111" t="s">
        <v>37</v>
      </c>
      <c r="G28" s="112" t="s">
        <v>57</v>
      </c>
      <c r="H28" s="111" t="s">
        <v>58</v>
      </c>
      <c r="I28" s="111" t="s">
        <v>37</v>
      </c>
      <c r="J28" s="112" t="s">
        <v>57</v>
      </c>
      <c r="K28" s="111" t="s">
        <v>58</v>
      </c>
      <c r="L28" s="111"/>
      <c r="M28" s="112" t="s">
        <v>51</v>
      </c>
      <c r="N28" s="111"/>
      <c r="O28" s="113" t="s">
        <v>59</v>
      </c>
      <c r="Q28" s="32"/>
    </row>
    <row r="29" spans="1:17" ht="32.4" customHeight="1" outlineLevel="1">
      <c r="A29" s="31" t="s">
        <v>441</v>
      </c>
      <c r="B29" s="31" t="s">
        <v>442</v>
      </c>
      <c r="C29" s="31" t="s">
        <v>443</v>
      </c>
      <c r="D29" s="33" t="s">
        <v>437</v>
      </c>
      <c r="E29" s="33" t="s">
        <v>105</v>
      </c>
      <c r="F29" s="111" t="s">
        <v>37</v>
      </c>
      <c r="G29" s="112" t="s">
        <v>57</v>
      </c>
      <c r="H29" s="111" t="s">
        <v>58</v>
      </c>
      <c r="I29" s="111" t="s">
        <v>37</v>
      </c>
      <c r="J29" s="112" t="s">
        <v>57</v>
      </c>
      <c r="K29" s="111" t="s">
        <v>58</v>
      </c>
      <c r="L29" s="111"/>
      <c r="M29" s="112" t="s">
        <v>51</v>
      </c>
      <c r="N29" s="111"/>
      <c r="O29" s="113" t="s">
        <v>59</v>
      </c>
      <c r="Q29" s="32"/>
    </row>
    <row r="30" spans="1:17" ht="45.6" customHeight="1" outlineLevel="1">
      <c r="A30" s="31" t="s">
        <v>444</v>
      </c>
      <c r="B30" s="31" t="s">
        <v>445</v>
      </c>
      <c r="C30" s="31" t="s">
        <v>446</v>
      </c>
      <c r="D30" s="33" t="s">
        <v>447</v>
      </c>
      <c r="E30" s="33" t="s">
        <v>105</v>
      </c>
      <c r="F30" s="111" t="s">
        <v>37</v>
      </c>
      <c r="G30" s="112" t="s">
        <v>57</v>
      </c>
      <c r="H30" s="111" t="s">
        <v>58</v>
      </c>
      <c r="I30" s="111" t="s">
        <v>37</v>
      </c>
      <c r="J30" s="112" t="s">
        <v>57</v>
      </c>
      <c r="K30" s="111" t="s">
        <v>58</v>
      </c>
      <c r="L30" s="111"/>
      <c r="M30" s="112" t="s">
        <v>51</v>
      </c>
      <c r="N30" s="111"/>
      <c r="O30" s="113" t="s">
        <v>59</v>
      </c>
      <c r="Q30" s="32"/>
    </row>
    <row r="31" spans="1:17" ht="32.4" customHeight="1" outlineLevel="1">
      <c r="A31" s="31" t="s">
        <v>448</v>
      </c>
      <c r="B31" s="31" t="s">
        <v>449</v>
      </c>
      <c r="C31" s="31" t="s">
        <v>450</v>
      </c>
      <c r="D31" s="33" t="s">
        <v>447</v>
      </c>
      <c r="E31" s="33" t="s">
        <v>105</v>
      </c>
      <c r="F31" s="111" t="s">
        <v>37</v>
      </c>
      <c r="G31" s="112" t="s">
        <v>57</v>
      </c>
      <c r="H31" s="111" t="s">
        <v>58</v>
      </c>
      <c r="I31" s="111" t="s">
        <v>37</v>
      </c>
      <c r="J31" s="112" t="s">
        <v>57</v>
      </c>
      <c r="K31" s="111" t="s">
        <v>58</v>
      </c>
      <c r="L31" s="111"/>
      <c r="M31" s="112" t="s">
        <v>51</v>
      </c>
      <c r="N31" s="111"/>
      <c r="O31" s="113" t="s">
        <v>59</v>
      </c>
      <c r="Q31" s="32"/>
    </row>
    <row r="32" spans="1:17" ht="32.4" customHeight="1" outlineLevel="1">
      <c r="A32" s="31" t="s">
        <v>451</v>
      </c>
      <c r="B32" s="31" t="s">
        <v>452</v>
      </c>
      <c r="C32" s="31" t="s">
        <v>453</v>
      </c>
      <c r="D32" s="33" t="s">
        <v>454</v>
      </c>
      <c r="E32" s="33" t="s">
        <v>105</v>
      </c>
      <c r="F32" s="111" t="s">
        <v>37</v>
      </c>
      <c r="G32" s="112" t="s">
        <v>57</v>
      </c>
      <c r="H32" s="111" t="s">
        <v>58</v>
      </c>
      <c r="I32" s="111" t="s">
        <v>37</v>
      </c>
      <c r="J32" s="112" t="s">
        <v>57</v>
      </c>
      <c r="K32" s="111" t="s">
        <v>58</v>
      </c>
      <c r="L32" s="111"/>
      <c r="M32" s="112" t="s">
        <v>51</v>
      </c>
      <c r="N32" s="111"/>
      <c r="O32" s="113" t="s">
        <v>59</v>
      </c>
      <c r="Q32" s="32"/>
    </row>
    <row r="33" spans="1:17" ht="32.4" customHeight="1" outlineLevel="1">
      <c r="A33" s="31" t="s">
        <v>455</v>
      </c>
      <c r="B33" s="31" t="s">
        <v>456</v>
      </c>
      <c r="C33" s="31" t="s">
        <v>457</v>
      </c>
      <c r="D33" s="33" t="s">
        <v>458</v>
      </c>
      <c r="E33" s="33" t="s">
        <v>105</v>
      </c>
      <c r="F33" s="111" t="s">
        <v>37</v>
      </c>
      <c r="G33" s="112" t="s">
        <v>57</v>
      </c>
      <c r="H33" s="111" t="s">
        <v>58</v>
      </c>
      <c r="I33" s="111" t="s">
        <v>37</v>
      </c>
      <c r="J33" s="112" t="s">
        <v>57</v>
      </c>
      <c r="K33" s="111" t="s">
        <v>58</v>
      </c>
      <c r="L33" s="111"/>
      <c r="M33" s="112" t="s">
        <v>51</v>
      </c>
      <c r="N33" s="111"/>
      <c r="O33" s="113" t="s">
        <v>59</v>
      </c>
      <c r="Q33" s="32"/>
    </row>
    <row r="34" spans="1:17" ht="32.4" customHeight="1" outlineLevel="1">
      <c r="A34" s="31" t="s">
        <v>459</v>
      </c>
      <c r="B34" s="31" t="s">
        <v>460</v>
      </c>
      <c r="C34" s="31" t="s">
        <v>461</v>
      </c>
      <c r="D34" s="33" t="s">
        <v>458</v>
      </c>
      <c r="E34" s="33" t="s">
        <v>105</v>
      </c>
      <c r="F34" s="111" t="s">
        <v>37</v>
      </c>
      <c r="G34" s="112" t="s">
        <v>57</v>
      </c>
      <c r="H34" s="111" t="s">
        <v>58</v>
      </c>
      <c r="I34" s="111" t="s">
        <v>37</v>
      </c>
      <c r="J34" s="112" t="s">
        <v>57</v>
      </c>
      <c r="K34" s="111" t="s">
        <v>58</v>
      </c>
      <c r="L34" s="111"/>
      <c r="M34" s="112" t="s">
        <v>51</v>
      </c>
      <c r="N34" s="111"/>
      <c r="O34" s="113" t="s">
        <v>59</v>
      </c>
      <c r="Q34" s="32"/>
    </row>
    <row r="35" spans="1:17" ht="32.4" customHeight="1" outlineLevel="1">
      <c r="A35" s="31" t="s">
        <v>462</v>
      </c>
      <c r="B35" s="31" t="s">
        <v>463</v>
      </c>
      <c r="C35" s="31" t="s">
        <v>464</v>
      </c>
      <c r="D35" s="33" t="s">
        <v>447</v>
      </c>
      <c r="E35" s="33" t="s">
        <v>105</v>
      </c>
      <c r="F35" s="111" t="s">
        <v>37</v>
      </c>
      <c r="G35" s="112" t="s">
        <v>57</v>
      </c>
      <c r="H35" s="111" t="s">
        <v>58</v>
      </c>
      <c r="I35" s="111" t="s">
        <v>37</v>
      </c>
      <c r="J35" s="112" t="s">
        <v>57</v>
      </c>
      <c r="K35" s="111" t="s">
        <v>58</v>
      </c>
      <c r="L35" s="111"/>
      <c r="M35" s="112" t="s">
        <v>51</v>
      </c>
      <c r="N35" s="111"/>
      <c r="O35" s="113" t="s">
        <v>59</v>
      </c>
      <c r="Q35" s="32"/>
    </row>
  </sheetData>
  <mergeCells count="3">
    <mergeCell ref="B2:E2"/>
    <mergeCell ref="B3:E3"/>
    <mergeCell ref="B4:E4"/>
  </mergeCells>
  <dataValidations count="3">
    <dataValidation allowBlank="1" showErrorMessage="1" sqref="F10 I10 L10" xr:uid="{9CECE5CB-CC47-4A27-AFB1-479F89A813B4}"/>
    <dataValidation type="list" allowBlank="1" showErrorMessage="1" sqref="G2:G3 G9 G36:G163 J2:J3 J9 J36:J163 M2:M3 M9 M36:M163" xr:uid="{54E28E25-867C-4B88-A99D-D5A08983A7CC}">
      <formula1>$R$2:$R$5</formula1>
      <formula2>0</formula2>
    </dataValidation>
    <dataValidation type="list" allowBlank="1" showInputMessage="1" showErrorMessage="1" sqref="F11:F35 I11:I35 L11:L35" xr:uid="{E1688714-5F18-4A7F-A68E-EDDE117A3DDC}">
      <formula1>$R$2:$R$5</formula1>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7FF18-EDB9-4412-A8C6-2C094473B9CC}">
  <sheetPr>
    <outlinePr summaryBelow="0" summaryRight="0"/>
  </sheetPr>
  <dimension ref="A1:R41"/>
  <sheetViews>
    <sheetView zoomScale="85" zoomScaleNormal="85" workbookViewId="0">
      <pane ySplit="10" topLeftCell="A11" activePane="bottomLeft" state="frozen"/>
      <selection pane="bottomLeft"/>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14.77734375" style="1" customWidth="1" outlineLevel="1"/>
    <col min="9" max="9" width="9.33203125" style="1" customWidth="1"/>
    <col min="10" max="10" width="10.6640625" style="1" customWidth="1" outlineLevel="1"/>
    <col min="11" max="11" width="14.77734375" style="1" customWidth="1" outlineLevel="1"/>
    <col min="12" max="12" width="9.33203125" style="1" customWidth="1"/>
    <col min="13" max="13" width="10.6640625" style="1" customWidth="1" outlineLevel="1"/>
    <col min="14" max="14" width="14.77734375" style="1" customWidth="1" outlineLevel="1"/>
    <col min="15" max="15" width="28.6640625" style="1" customWidth="1"/>
    <col min="16" max="16" width="10.109375" style="1" customWidth="1"/>
    <col min="17" max="17" width="8.109375" style="23" customWidth="1"/>
    <col min="18" max="18" width="7.6640625" style="1" hidden="1" customWidth="1"/>
    <col min="19" max="16384" width="9" style="1"/>
  </cols>
  <sheetData>
    <row r="1" spans="1:18" ht="13.8" thickBot="1"/>
    <row r="2" spans="1:18" s="25" customFormat="1" ht="15" customHeight="1">
      <c r="A2" s="77" t="s">
        <v>35</v>
      </c>
      <c r="B2" s="105" t="s">
        <v>465</v>
      </c>
      <c r="C2" s="105"/>
      <c r="D2" s="105"/>
      <c r="E2" s="106"/>
      <c r="F2" s="67"/>
      <c r="G2" s="61"/>
      <c r="H2" s="9"/>
      <c r="I2" s="67"/>
      <c r="J2" s="61"/>
      <c r="K2" s="9"/>
      <c r="L2" s="67"/>
      <c r="M2" s="61"/>
      <c r="N2" s="9"/>
      <c r="O2" s="9"/>
      <c r="P2" s="9"/>
      <c r="Q2" s="24"/>
      <c r="R2" s="25" t="s">
        <v>37</v>
      </c>
    </row>
    <row r="3" spans="1:18" s="25" customFormat="1" ht="28.05" customHeight="1">
      <c r="A3" s="78" t="s">
        <v>20</v>
      </c>
      <c r="B3" s="107" t="s">
        <v>466</v>
      </c>
      <c r="C3" s="107"/>
      <c r="D3" s="107"/>
      <c r="E3" s="108"/>
      <c r="F3" s="67"/>
      <c r="G3" s="61"/>
      <c r="H3" s="9"/>
      <c r="I3" s="67"/>
      <c r="J3" s="61"/>
      <c r="K3" s="9"/>
      <c r="L3" s="67"/>
      <c r="M3" s="61"/>
      <c r="N3" s="9"/>
      <c r="O3" s="9"/>
      <c r="P3" s="9"/>
      <c r="Q3" s="24"/>
      <c r="R3" s="25" t="s">
        <v>38</v>
      </c>
    </row>
    <row r="4" spans="1:18" s="25" customFormat="1" ht="18" customHeight="1">
      <c r="A4" s="78" t="s">
        <v>45</v>
      </c>
      <c r="B4" s="107">
        <f>COUNTA(B11:B2022)</f>
        <v>31</v>
      </c>
      <c r="C4" s="107"/>
      <c r="D4" s="107"/>
      <c r="E4" s="108"/>
      <c r="F4" s="67"/>
      <c r="G4" s="61"/>
      <c r="H4" s="9"/>
      <c r="I4" s="67"/>
      <c r="J4" s="61"/>
      <c r="K4" s="9"/>
      <c r="L4" s="67"/>
      <c r="M4" s="61"/>
      <c r="N4" s="9"/>
      <c r="O4" s="9"/>
      <c r="P4" s="9"/>
      <c r="Q4" s="24"/>
      <c r="R4" s="25" t="s">
        <v>36</v>
      </c>
    </row>
    <row r="5" spans="1:18" s="25" customFormat="1" ht="19.5" customHeight="1">
      <c r="A5" s="71" t="s">
        <v>39</v>
      </c>
      <c r="B5" s="69" t="s">
        <v>37</v>
      </c>
      <c r="C5" s="69" t="s">
        <v>38</v>
      </c>
      <c r="D5" s="69" t="s">
        <v>36</v>
      </c>
      <c r="E5" s="72" t="s">
        <v>22</v>
      </c>
      <c r="F5" s="62"/>
      <c r="G5" s="62"/>
      <c r="H5" s="26"/>
      <c r="I5" s="62"/>
      <c r="J5" s="62"/>
      <c r="K5" s="26"/>
      <c r="L5" s="62"/>
      <c r="M5" s="62"/>
      <c r="N5" s="26"/>
      <c r="O5" s="26"/>
      <c r="P5" s="26"/>
      <c r="Q5" s="27"/>
      <c r="R5" s="25" t="s">
        <v>22</v>
      </c>
    </row>
    <row r="6" spans="1:18" s="25" customFormat="1" ht="15" customHeight="1">
      <c r="A6" s="71" t="s">
        <v>40</v>
      </c>
      <c r="B6" s="70">
        <f>COUNTIF($F$11:$F$2022,B$5)</f>
        <v>31</v>
      </c>
      <c r="C6" s="70">
        <f>COUNTIF($F$11:$F$2022,C$5)</f>
        <v>0</v>
      </c>
      <c r="D6" s="70">
        <f>COUNTIF($F$11:$F$2022,D$5)</f>
        <v>0</v>
      </c>
      <c r="E6" s="76">
        <f>COUNTIF($F$11:$F$2022,E$5)</f>
        <v>0</v>
      </c>
      <c r="F6" s="63"/>
      <c r="G6" s="63"/>
      <c r="H6" s="26"/>
      <c r="I6" s="63"/>
      <c r="J6" s="63"/>
      <c r="K6" s="26"/>
      <c r="L6" s="63"/>
      <c r="M6" s="63"/>
      <c r="N6" s="26"/>
      <c r="O6" s="26"/>
      <c r="P6" s="26"/>
      <c r="Q6" s="27"/>
    </row>
    <row r="7" spans="1:18" s="25" customFormat="1" ht="15" customHeight="1">
      <c r="A7" s="71" t="s">
        <v>42</v>
      </c>
      <c r="B7" s="70">
        <f>COUNTIF($I$11:$I$2022,B$5)</f>
        <v>31</v>
      </c>
      <c r="C7" s="70">
        <f>COUNTIF($I$11:$I$2022,C$5)</f>
        <v>0</v>
      </c>
      <c r="D7" s="70">
        <f>COUNTIF($I$11:$I$2022,D$5)</f>
        <v>0</v>
      </c>
      <c r="E7" s="76">
        <f>COUNTIF($I$11:$I$2022,E$5)</f>
        <v>0</v>
      </c>
      <c r="F7" s="63"/>
      <c r="G7" s="63"/>
      <c r="H7" s="26"/>
      <c r="I7" s="63"/>
      <c r="J7" s="63"/>
      <c r="K7" s="26"/>
      <c r="L7" s="63"/>
      <c r="M7" s="63"/>
      <c r="N7" s="26"/>
      <c r="O7" s="26"/>
      <c r="P7" s="26"/>
      <c r="Q7" s="27"/>
    </row>
    <row r="8" spans="1:18" s="25" customFormat="1" ht="15" customHeight="1" thickBot="1">
      <c r="A8" s="73" t="s">
        <v>43</v>
      </c>
      <c r="B8" s="74">
        <f>COUNTIF($L$11:$L$2022,B$5)</f>
        <v>0</v>
      </c>
      <c r="C8" s="74">
        <f>COUNTIF($L$11:$L$2022,C$5)</f>
        <v>0</v>
      </c>
      <c r="D8" s="74">
        <f>COUNTIF($L$11:$L$2022,D$5)</f>
        <v>0</v>
      </c>
      <c r="E8" s="75">
        <f>COUNTIF($L$11:$L$2022,E$5)</f>
        <v>0</v>
      </c>
      <c r="F8" s="63"/>
      <c r="G8" s="63"/>
      <c r="H8" s="26"/>
      <c r="I8" s="63"/>
      <c r="J8" s="63"/>
      <c r="K8" s="26"/>
      <c r="L8" s="63"/>
      <c r="M8" s="63"/>
      <c r="N8" s="26"/>
      <c r="O8" s="26"/>
      <c r="P8" s="26"/>
      <c r="Q8" s="27"/>
    </row>
    <row r="9" spans="1:18" s="25" customFormat="1" ht="15" customHeight="1">
      <c r="A9" s="26"/>
      <c r="B9" s="26"/>
      <c r="C9" s="26"/>
      <c r="D9" s="26"/>
      <c r="E9" s="26"/>
      <c r="F9" s="28"/>
      <c r="G9" s="26"/>
      <c r="H9" s="26"/>
      <c r="I9" s="28"/>
      <c r="J9" s="26"/>
      <c r="K9" s="26"/>
      <c r="L9" s="28"/>
      <c r="M9" s="26"/>
      <c r="N9" s="26"/>
      <c r="O9" s="26"/>
      <c r="P9" s="26"/>
      <c r="Q9" s="27"/>
    </row>
    <row r="10" spans="1:18" s="25" customFormat="1" ht="25.5" customHeight="1">
      <c r="A10" s="68" t="s">
        <v>44</v>
      </c>
      <c r="B10" s="68" t="s">
        <v>23</v>
      </c>
      <c r="C10" s="68" t="s">
        <v>34</v>
      </c>
      <c r="D10" s="68" t="s">
        <v>33</v>
      </c>
      <c r="E10" s="68" t="s">
        <v>41</v>
      </c>
      <c r="F10" s="68" t="s">
        <v>40</v>
      </c>
      <c r="G10" s="68" t="s">
        <v>24</v>
      </c>
      <c r="H10" s="68" t="s">
        <v>21</v>
      </c>
      <c r="I10" s="68" t="s">
        <v>42</v>
      </c>
      <c r="J10" s="68" t="s">
        <v>24</v>
      </c>
      <c r="K10" s="68" t="s">
        <v>21</v>
      </c>
      <c r="L10" s="68" t="s">
        <v>43</v>
      </c>
      <c r="M10" s="68" t="s">
        <v>24</v>
      </c>
      <c r="N10" s="68" t="s">
        <v>21</v>
      </c>
      <c r="O10" s="68" t="s">
        <v>25</v>
      </c>
      <c r="Q10" s="29"/>
    </row>
    <row r="11" spans="1:18" ht="45.6" customHeight="1" outlineLevel="1">
      <c r="A11" s="31" t="s">
        <v>467</v>
      </c>
      <c r="B11" s="31" t="s">
        <v>468</v>
      </c>
      <c r="C11" s="31" t="s">
        <v>469</v>
      </c>
      <c r="D11" s="33" t="s">
        <v>470</v>
      </c>
      <c r="E11" s="33" t="s">
        <v>471</v>
      </c>
      <c r="F11" s="111" t="s">
        <v>37</v>
      </c>
      <c r="G11" s="112" t="s">
        <v>472</v>
      </c>
      <c r="H11" s="111" t="s">
        <v>58</v>
      </c>
      <c r="I11" s="111" t="s">
        <v>37</v>
      </c>
      <c r="J11" s="112" t="s">
        <v>472</v>
      </c>
      <c r="K11" s="111" t="s">
        <v>58</v>
      </c>
      <c r="L11" s="111"/>
      <c r="M11" s="112" t="s">
        <v>51</v>
      </c>
      <c r="N11" s="111"/>
      <c r="O11" s="113" t="s">
        <v>59</v>
      </c>
      <c r="Q11" s="32"/>
    </row>
    <row r="12" spans="1:18" ht="45.6" customHeight="1" outlineLevel="1">
      <c r="A12" s="31" t="s">
        <v>473</v>
      </c>
      <c r="B12" s="31" t="s">
        <v>474</v>
      </c>
      <c r="C12" s="31" t="s">
        <v>469</v>
      </c>
      <c r="D12" s="33" t="s">
        <v>475</v>
      </c>
      <c r="E12" s="33" t="s">
        <v>471</v>
      </c>
      <c r="F12" s="111" t="s">
        <v>37</v>
      </c>
      <c r="G12" s="112" t="s">
        <v>472</v>
      </c>
      <c r="H12" s="111" t="s">
        <v>58</v>
      </c>
      <c r="I12" s="111" t="s">
        <v>37</v>
      </c>
      <c r="J12" s="112" t="s">
        <v>472</v>
      </c>
      <c r="K12" s="111" t="s">
        <v>58</v>
      </c>
      <c r="L12" s="111"/>
      <c r="M12" s="112" t="s">
        <v>51</v>
      </c>
      <c r="N12" s="111"/>
      <c r="O12" s="113" t="s">
        <v>59</v>
      </c>
      <c r="Q12" s="32"/>
    </row>
    <row r="13" spans="1:18" ht="45.6" customHeight="1" outlineLevel="1">
      <c r="A13" s="31" t="s">
        <v>476</v>
      </c>
      <c r="B13" s="31" t="s">
        <v>477</v>
      </c>
      <c r="C13" s="31" t="s">
        <v>478</v>
      </c>
      <c r="D13" s="33" t="s">
        <v>479</v>
      </c>
      <c r="E13" s="33" t="s">
        <v>471</v>
      </c>
      <c r="F13" s="111" t="s">
        <v>37</v>
      </c>
      <c r="G13" s="112" t="s">
        <v>472</v>
      </c>
      <c r="H13" s="111" t="s">
        <v>58</v>
      </c>
      <c r="I13" s="111" t="s">
        <v>37</v>
      </c>
      <c r="J13" s="112" t="s">
        <v>472</v>
      </c>
      <c r="K13" s="111" t="s">
        <v>58</v>
      </c>
      <c r="L13" s="111"/>
      <c r="M13" s="112" t="s">
        <v>51</v>
      </c>
      <c r="N13" s="111"/>
      <c r="O13" s="113" t="s">
        <v>59</v>
      </c>
      <c r="Q13" s="32"/>
    </row>
    <row r="14" spans="1:18" ht="45.6" customHeight="1" outlineLevel="1">
      <c r="A14" s="31" t="s">
        <v>480</v>
      </c>
      <c r="B14" s="31" t="s">
        <v>481</v>
      </c>
      <c r="C14" s="31" t="s">
        <v>469</v>
      </c>
      <c r="D14" s="33" t="s">
        <v>475</v>
      </c>
      <c r="E14" s="33" t="s">
        <v>471</v>
      </c>
      <c r="F14" s="111" t="s">
        <v>37</v>
      </c>
      <c r="G14" s="112" t="s">
        <v>472</v>
      </c>
      <c r="H14" s="111" t="s">
        <v>58</v>
      </c>
      <c r="I14" s="111" t="s">
        <v>37</v>
      </c>
      <c r="J14" s="112" t="s">
        <v>472</v>
      </c>
      <c r="K14" s="111" t="s">
        <v>58</v>
      </c>
      <c r="L14" s="111"/>
      <c r="M14" s="112" t="s">
        <v>51</v>
      </c>
      <c r="N14" s="111"/>
      <c r="O14" s="113" t="s">
        <v>59</v>
      </c>
      <c r="Q14" s="32"/>
    </row>
    <row r="15" spans="1:18" ht="32.4" customHeight="1" outlineLevel="1">
      <c r="A15" s="31" t="s">
        <v>482</v>
      </c>
      <c r="B15" s="31" t="s">
        <v>483</v>
      </c>
      <c r="C15" s="31" t="s">
        <v>484</v>
      </c>
      <c r="D15" s="33" t="s">
        <v>485</v>
      </c>
      <c r="E15" s="33" t="s">
        <v>486</v>
      </c>
      <c r="F15" s="111" t="s">
        <v>37</v>
      </c>
      <c r="G15" s="112" t="s">
        <v>472</v>
      </c>
      <c r="H15" s="111" t="s">
        <v>58</v>
      </c>
      <c r="I15" s="111" t="s">
        <v>37</v>
      </c>
      <c r="J15" s="112" t="s">
        <v>472</v>
      </c>
      <c r="K15" s="111" t="s">
        <v>58</v>
      </c>
      <c r="L15" s="111"/>
      <c r="M15" s="112" t="s">
        <v>51</v>
      </c>
      <c r="N15" s="111"/>
      <c r="O15" s="113" t="s">
        <v>59</v>
      </c>
      <c r="Q15" s="32"/>
    </row>
    <row r="16" spans="1:18" ht="32.4" customHeight="1" outlineLevel="1">
      <c r="A16" s="31" t="s">
        <v>487</v>
      </c>
      <c r="B16" s="31" t="s">
        <v>488</v>
      </c>
      <c r="C16" s="31" t="s">
        <v>484</v>
      </c>
      <c r="D16" s="33" t="s">
        <v>489</v>
      </c>
      <c r="E16" s="33" t="s">
        <v>105</v>
      </c>
      <c r="F16" s="111" t="s">
        <v>37</v>
      </c>
      <c r="G16" s="112" t="s">
        <v>472</v>
      </c>
      <c r="H16" s="111" t="s">
        <v>58</v>
      </c>
      <c r="I16" s="111" t="s">
        <v>37</v>
      </c>
      <c r="J16" s="112" t="s">
        <v>472</v>
      </c>
      <c r="K16" s="111" t="s">
        <v>58</v>
      </c>
      <c r="L16" s="111"/>
      <c r="M16" s="112" t="s">
        <v>51</v>
      </c>
      <c r="N16" s="111"/>
      <c r="O16" s="113" t="s">
        <v>59</v>
      </c>
      <c r="Q16" s="32"/>
    </row>
    <row r="17" spans="1:17" ht="32.4" customHeight="1" outlineLevel="1">
      <c r="A17" s="31" t="s">
        <v>490</v>
      </c>
      <c r="B17" s="31" t="s">
        <v>491</v>
      </c>
      <c r="C17" s="31" t="s">
        <v>492</v>
      </c>
      <c r="D17" s="33" t="s">
        <v>493</v>
      </c>
      <c r="E17" s="33" t="s">
        <v>486</v>
      </c>
      <c r="F17" s="111" t="s">
        <v>37</v>
      </c>
      <c r="G17" s="112" t="s">
        <v>472</v>
      </c>
      <c r="H17" s="111" t="s">
        <v>58</v>
      </c>
      <c r="I17" s="111" t="s">
        <v>37</v>
      </c>
      <c r="J17" s="112" t="s">
        <v>472</v>
      </c>
      <c r="K17" s="111" t="s">
        <v>58</v>
      </c>
      <c r="L17" s="111"/>
      <c r="M17" s="112" t="s">
        <v>51</v>
      </c>
      <c r="N17" s="111"/>
      <c r="O17" s="113" t="s">
        <v>59</v>
      </c>
      <c r="Q17" s="32"/>
    </row>
    <row r="18" spans="1:17" ht="32.4" customHeight="1" outlineLevel="1">
      <c r="A18" s="31" t="s">
        <v>494</v>
      </c>
      <c r="B18" s="31" t="s">
        <v>495</v>
      </c>
      <c r="C18" s="31" t="s">
        <v>496</v>
      </c>
      <c r="D18" s="33" t="s">
        <v>479</v>
      </c>
      <c r="E18" s="33" t="s">
        <v>486</v>
      </c>
      <c r="F18" s="111" t="s">
        <v>37</v>
      </c>
      <c r="G18" s="112" t="s">
        <v>472</v>
      </c>
      <c r="H18" s="111" t="s">
        <v>58</v>
      </c>
      <c r="I18" s="111" t="s">
        <v>37</v>
      </c>
      <c r="J18" s="112" t="s">
        <v>472</v>
      </c>
      <c r="K18" s="111" t="s">
        <v>58</v>
      </c>
      <c r="L18" s="111"/>
      <c r="M18" s="112" t="s">
        <v>51</v>
      </c>
      <c r="N18" s="111"/>
      <c r="O18" s="113" t="s">
        <v>59</v>
      </c>
      <c r="Q18" s="32"/>
    </row>
    <row r="19" spans="1:17" ht="32.4" customHeight="1" outlineLevel="1">
      <c r="A19" s="31" t="s">
        <v>497</v>
      </c>
      <c r="B19" s="31" t="s">
        <v>498</v>
      </c>
      <c r="C19" s="31" t="s">
        <v>499</v>
      </c>
      <c r="D19" s="33" t="s">
        <v>500</v>
      </c>
      <c r="E19" s="33" t="s">
        <v>486</v>
      </c>
      <c r="F19" s="111" t="s">
        <v>37</v>
      </c>
      <c r="G19" s="112" t="s">
        <v>472</v>
      </c>
      <c r="H19" s="111" t="s">
        <v>58</v>
      </c>
      <c r="I19" s="111" t="s">
        <v>37</v>
      </c>
      <c r="J19" s="112" t="s">
        <v>472</v>
      </c>
      <c r="K19" s="111" t="s">
        <v>58</v>
      </c>
      <c r="L19" s="111"/>
      <c r="M19" s="112" t="s">
        <v>51</v>
      </c>
      <c r="N19" s="111"/>
      <c r="O19" s="113" t="s">
        <v>59</v>
      </c>
      <c r="Q19" s="32"/>
    </row>
    <row r="20" spans="1:17" ht="32.4" customHeight="1" outlineLevel="1">
      <c r="A20" s="31" t="s">
        <v>501</v>
      </c>
      <c r="B20" s="31" t="s">
        <v>502</v>
      </c>
      <c r="C20" s="31" t="s">
        <v>503</v>
      </c>
      <c r="D20" s="33" t="s">
        <v>504</v>
      </c>
      <c r="E20" s="33" t="s">
        <v>486</v>
      </c>
      <c r="F20" s="111" t="s">
        <v>37</v>
      </c>
      <c r="G20" s="112" t="s">
        <v>472</v>
      </c>
      <c r="H20" s="111" t="s">
        <v>58</v>
      </c>
      <c r="I20" s="111" t="s">
        <v>37</v>
      </c>
      <c r="J20" s="112" t="s">
        <v>472</v>
      </c>
      <c r="K20" s="111" t="s">
        <v>58</v>
      </c>
      <c r="L20" s="111"/>
      <c r="M20" s="112" t="s">
        <v>51</v>
      </c>
      <c r="N20" s="111"/>
      <c r="O20" s="113" t="s">
        <v>59</v>
      </c>
      <c r="Q20" s="32"/>
    </row>
    <row r="21" spans="1:17" ht="32.4" customHeight="1" outlineLevel="1">
      <c r="A21" s="31" t="s">
        <v>505</v>
      </c>
      <c r="B21" s="31" t="s">
        <v>506</v>
      </c>
      <c r="C21" s="31" t="s">
        <v>503</v>
      </c>
      <c r="D21" s="33" t="s">
        <v>475</v>
      </c>
      <c r="E21" s="33" t="s">
        <v>486</v>
      </c>
      <c r="F21" s="111" t="s">
        <v>37</v>
      </c>
      <c r="G21" s="112" t="s">
        <v>472</v>
      </c>
      <c r="H21" s="111" t="s">
        <v>58</v>
      </c>
      <c r="I21" s="111" t="s">
        <v>37</v>
      </c>
      <c r="J21" s="112" t="s">
        <v>472</v>
      </c>
      <c r="K21" s="111" t="s">
        <v>58</v>
      </c>
      <c r="L21" s="111"/>
      <c r="M21" s="112" t="s">
        <v>51</v>
      </c>
      <c r="N21" s="111"/>
      <c r="O21" s="113" t="s">
        <v>59</v>
      </c>
      <c r="Q21" s="32"/>
    </row>
    <row r="22" spans="1:17" ht="32.4" customHeight="1" outlineLevel="1">
      <c r="A22" s="31" t="s">
        <v>507</v>
      </c>
      <c r="B22" s="31" t="s">
        <v>508</v>
      </c>
      <c r="C22" s="31" t="s">
        <v>503</v>
      </c>
      <c r="D22" s="33" t="s">
        <v>509</v>
      </c>
      <c r="E22" s="33" t="s">
        <v>486</v>
      </c>
      <c r="F22" s="111" t="s">
        <v>37</v>
      </c>
      <c r="G22" s="112" t="s">
        <v>472</v>
      </c>
      <c r="H22" s="111" t="s">
        <v>58</v>
      </c>
      <c r="I22" s="111" t="s">
        <v>37</v>
      </c>
      <c r="J22" s="112" t="s">
        <v>472</v>
      </c>
      <c r="K22" s="111" t="s">
        <v>58</v>
      </c>
      <c r="L22" s="111"/>
      <c r="M22" s="112" t="s">
        <v>51</v>
      </c>
      <c r="N22" s="111"/>
      <c r="O22" s="113" t="s">
        <v>59</v>
      </c>
      <c r="Q22" s="32"/>
    </row>
    <row r="23" spans="1:17" ht="45.6" customHeight="1" outlineLevel="1">
      <c r="A23" s="31" t="s">
        <v>510</v>
      </c>
      <c r="B23" s="31" t="s">
        <v>511</v>
      </c>
      <c r="C23" s="31" t="s">
        <v>512</v>
      </c>
      <c r="D23" s="33" t="s">
        <v>513</v>
      </c>
      <c r="E23" s="33" t="s">
        <v>486</v>
      </c>
      <c r="F23" s="111" t="s">
        <v>37</v>
      </c>
      <c r="G23" s="112" t="s">
        <v>472</v>
      </c>
      <c r="H23" s="111" t="s">
        <v>58</v>
      </c>
      <c r="I23" s="111" t="s">
        <v>37</v>
      </c>
      <c r="J23" s="112" t="s">
        <v>472</v>
      </c>
      <c r="K23" s="111" t="s">
        <v>58</v>
      </c>
      <c r="L23" s="111"/>
      <c r="M23" s="112" t="s">
        <v>51</v>
      </c>
      <c r="N23" s="111"/>
      <c r="O23" s="113" t="s">
        <v>59</v>
      </c>
      <c r="Q23" s="32"/>
    </row>
    <row r="24" spans="1:17" ht="45.6" customHeight="1" outlineLevel="1">
      <c r="A24" s="31" t="s">
        <v>514</v>
      </c>
      <c r="B24" s="31" t="s">
        <v>515</v>
      </c>
      <c r="C24" s="31" t="s">
        <v>512</v>
      </c>
      <c r="D24" s="33" t="s">
        <v>489</v>
      </c>
      <c r="E24" s="33" t="s">
        <v>486</v>
      </c>
      <c r="F24" s="111" t="s">
        <v>37</v>
      </c>
      <c r="G24" s="112" t="s">
        <v>472</v>
      </c>
      <c r="H24" s="111" t="s">
        <v>58</v>
      </c>
      <c r="I24" s="111" t="s">
        <v>37</v>
      </c>
      <c r="J24" s="112" t="s">
        <v>472</v>
      </c>
      <c r="K24" s="111" t="s">
        <v>58</v>
      </c>
      <c r="L24" s="111"/>
      <c r="M24" s="112" t="s">
        <v>51</v>
      </c>
      <c r="N24" s="111"/>
      <c r="O24" s="113" t="s">
        <v>59</v>
      </c>
      <c r="Q24" s="32"/>
    </row>
    <row r="25" spans="1:17" ht="45.6" customHeight="1" outlineLevel="1">
      <c r="A25" s="31" t="s">
        <v>516</v>
      </c>
      <c r="B25" s="31" t="s">
        <v>517</v>
      </c>
      <c r="C25" s="31" t="s">
        <v>518</v>
      </c>
      <c r="D25" s="33" t="s">
        <v>519</v>
      </c>
      <c r="E25" s="33" t="s">
        <v>486</v>
      </c>
      <c r="F25" s="111" t="s">
        <v>37</v>
      </c>
      <c r="G25" s="112" t="s">
        <v>472</v>
      </c>
      <c r="H25" s="111" t="s">
        <v>58</v>
      </c>
      <c r="I25" s="111" t="s">
        <v>37</v>
      </c>
      <c r="J25" s="112" t="s">
        <v>472</v>
      </c>
      <c r="K25" s="111" t="s">
        <v>58</v>
      </c>
      <c r="L25" s="111"/>
      <c r="M25" s="112" t="s">
        <v>51</v>
      </c>
      <c r="N25" s="111"/>
      <c r="O25" s="113" t="s">
        <v>59</v>
      </c>
      <c r="Q25" s="32"/>
    </row>
    <row r="26" spans="1:17" ht="45.6" customHeight="1" outlineLevel="1">
      <c r="A26" s="31" t="s">
        <v>520</v>
      </c>
      <c r="B26" s="31" t="s">
        <v>521</v>
      </c>
      <c r="C26" s="31" t="s">
        <v>518</v>
      </c>
      <c r="D26" s="33" t="s">
        <v>475</v>
      </c>
      <c r="E26" s="33" t="s">
        <v>486</v>
      </c>
      <c r="F26" s="111" t="s">
        <v>37</v>
      </c>
      <c r="G26" s="112" t="s">
        <v>472</v>
      </c>
      <c r="H26" s="111" t="s">
        <v>58</v>
      </c>
      <c r="I26" s="111" t="s">
        <v>37</v>
      </c>
      <c r="J26" s="112" t="s">
        <v>472</v>
      </c>
      <c r="K26" s="111" t="s">
        <v>58</v>
      </c>
      <c r="L26" s="111"/>
      <c r="M26" s="112" t="s">
        <v>51</v>
      </c>
      <c r="N26" s="111"/>
      <c r="O26" s="113" t="s">
        <v>59</v>
      </c>
      <c r="Q26" s="32"/>
    </row>
    <row r="27" spans="1:17" ht="45.6" customHeight="1" outlineLevel="1">
      <c r="A27" s="31" t="s">
        <v>522</v>
      </c>
      <c r="B27" s="31" t="s">
        <v>523</v>
      </c>
      <c r="C27" s="31" t="s">
        <v>524</v>
      </c>
      <c r="D27" s="33" t="s">
        <v>500</v>
      </c>
      <c r="E27" s="33" t="s">
        <v>486</v>
      </c>
      <c r="F27" s="111" t="s">
        <v>37</v>
      </c>
      <c r="G27" s="112" t="s">
        <v>472</v>
      </c>
      <c r="H27" s="111" t="s">
        <v>58</v>
      </c>
      <c r="I27" s="111" t="s">
        <v>37</v>
      </c>
      <c r="J27" s="112" t="s">
        <v>472</v>
      </c>
      <c r="K27" s="111" t="s">
        <v>58</v>
      </c>
      <c r="L27" s="111"/>
      <c r="M27" s="112" t="s">
        <v>51</v>
      </c>
      <c r="N27" s="111"/>
      <c r="O27" s="113" t="s">
        <v>59</v>
      </c>
      <c r="Q27" s="32"/>
    </row>
    <row r="28" spans="1:17" ht="45.6" customHeight="1" outlineLevel="1">
      <c r="A28" s="31" t="s">
        <v>525</v>
      </c>
      <c r="B28" s="31" t="s">
        <v>526</v>
      </c>
      <c r="C28" s="31" t="s">
        <v>527</v>
      </c>
      <c r="D28" s="33" t="s">
        <v>528</v>
      </c>
      <c r="E28" s="33" t="s">
        <v>486</v>
      </c>
      <c r="F28" s="111" t="s">
        <v>37</v>
      </c>
      <c r="G28" s="112" t="s">
        <v>472</v>
      </c>
      <c r="H28" s="111" t="s">
        <v>58</v>
      </c>
      <c r="I28" s="111" t="s">
        <v>37</v>
      </c>
      <c r="J28" s="112" t="s">
        <v>472</v>
      </c>
      <c r="K28" s="111" t="s">
        <v>58</v>
      </c>
      <c r="L28" s="111"/>
      <c r="M28" s="112" t="s">
        <v>51</v>
      </c>
      <c r="N28" s="111"/>
      <c r="O28" s="113" t="s">
        <v>59</v>
      </c>
      <c r="Q28" s="32"/>
    </row>
    <row r="29" spans="1:17" ht="45.6" customHeight="1" outlineLevel="1">
      <c r="A29" s="31" t="s">
        <v>529</v>
      </c>
      <c r="B29" s="31" t="s">
        <v>530</v>
      </c>
      <c r="C29" s="31" t="s">
        <v>531</v>
      </c>
      <c r="D29" s="33" t="s">
        <v>532</v>
      </c>
      <c r="E29" s="33" t="s">
        <v>486</v>
      </c>
      <c r="F29" s="111" t="s">
        <v>37</v>
      </c>
      <c r="G29" s="112" t="s">
        <v>472</v>
      </c>
      <c r="H29" s="111" t="s">
        <v>58</v>
      </c>
      <c r="I29" s="111" t="s">
        <v>37</v>
      </c>
      <c r="J29" s="112" t="s">
        <v>472</v>
      </c>
      <c r="K29" s="111" t="s">
        <v>58</v>
      </c>
      <c r="L29" s="111"/>
      <c r="M29" s="112" t="s">
        <v>51</v>
      </c>
      <c r="N29" s="111"/>
      <c r="O29" s="113" t="s">
        <v>59</v>
      </c>
      <c r="Q29" s="32"/>
    </row>
    <row r="30" spans="1:17" ht="32.4" customHeight="1" outlineLevel="1">
      <c r="A30" s="31" t="s">
        <v>533</v>
      </c>
      <c r="B30" s="31" t="s">
        <v>534</v>
      </c>
      <c r="C30" s="31" t="s">
        <v>531</v>
      </c>
      <c r="D30" s="33" t="s">
        <v>475</v>
      </c>
      <c r="E30" s="33" t="s">
        <v>486</v>
      </c>
      <c r="F30" s="111" t="s">
        <v>37</v>
      </c>
      <c r="G30" s="112" t="s">
        <v>472</v>
      </c>
      <c r="H30" s="111" t="s">
        <v>58</v>
      </c>
      <c r="I30" s="111" t="s">
        <v>37</v>
      </c>
      <c r="J30" s="112" t="s">
        <v>472</v>
      </c>
      <c r="K30" s="111" t="s">
        <v>58</v>
      </c>
      <c r="L30" s="111"/>
      <c r="M30" s="112" t="s">
        <v>51</v>
      </c>
      <c r="N30" s="111"/>
      <c r="O30" s="113" t="s">
        <v>59</v>
      </c>
      <c r="Q30" s="32"/>
    </row>
    <row r="31" spans="1:17" ht="32.4" customHeight="1" outlineLevel="1">
      <c r="A31" s="31" t="s">
        <v>535</v>
      </c>
      <c r="B31" s="31" t="s">
        <v>536</v>
      </c>
      <c r="C31" s="31" t="s">
        <v>537</v>
      </c>
      <c r="D31" s="33" t="s">
        <v>500</v>
      </c>
      <c r="E31" s="33" t="s">
        <v>486</v>
      </c>
      <c r="F31" s="111" t="s">
        <v>37</v>
      </c>
      <c r="G31" s="112" t="s">
        <v>472</v>
      </c>
      <c r="H31" s="111" t="s">
        <v>58</v>
      </c>
      <c r="I31" s="111" t="s">
        <v>37</v>
      </c>
      <c r="J31" s="112" t="s">
        <v>472</v>
      </c>
      <c r="K31" s="111" t="s">
        <v>58</v>
      </c>
      <c r="L31" s="111"/>
      <c r="M31" s="112" t="s">
        <v>51</v>
      </c>
      <c r="N31" s="111"/>
      <c r="O31" s="113" t="s">
        <v>59</v>
      </c>
      <c r="Q31" s="32"/>
    </row>
    <row r="32" spans="1:17" ht="32.4" customHeight="1" outlineLevel="1">
      <c r="A32" s="31" t="s">
        <v>538</v>
      </c>
      <c r="B32" s="31" t="s">
        <v>539</v>
      </c>
      <c r="C32" s="31" t="s">
        <v>537</v>
      </c>
      <c r="D32" s="33" t="s">
        <v>475</v>
      </c>
      <c r="E32" s="33" t="s">
        <v>486</v>
      </c>
      <c r="F32" s="111" t="s">
        <v>37</v>
      </c>
      <c r="G32" s="112" t="s">
        <v>472</v>
      </c>
      <c r="H32" s="111" t="s">
        <v>58</v>
      </c>
      <c r="I32" s="111" t="s">
        <v>37</v>
      </c>
      <c r="J32" s="112" t="s">
        <v>472</v>
      </c>
      <c r="K32" s="111" t="s">
        <v>58</v>
      </c>
      <c r="L32" s="111"/>
      <c r="M32" s="112" t="s">
        <v>51</v>
      </c>
      <c r="N32" s="111"/>
      <c r="O32" s="113" t="s">
        <v>59</v>
      </c>
      <c r="Q32" s="32"/>
    </row>
    <row r="33" spans="1:17" ht="45.6" customHeight="1" outlineLevel="1">
      <c r="A33" s="31" t="s">
        <v>540</v>
      </c>
      <c r="B33" s="31" t="s">
        <v>541</v>
      </c>
      <c r="C33" s="31" t="s">
        <v>542</v>
      </c>
      <c r="D33" s="33" t="s">
        <v>500</v>
      </c>
      <c r="E33" s="33" t="s">
        <v>486</v>
      </c>
      <c r="F33" s="111" t="s">
        <v>37</v>
      </c>
      <c r="G33" s="112" t="s">
        <v>472</v>
      </c>
      <c r="H33" s="111" t="s">
        <v>58</v>
      </c>
      <c r="I33" s="111" t="s">
        <v>37</v>
      </c>
      <c r="J33" s="112" t="s">
        <v>472</v>
      </c>
      <c r="K33" s="111" t="s">
        <v>58</v>
      </c>
      <c r="L33" s="111"/>
      <c r="M33" s="112" t="s">
        <v>51</v>
      </c>
      <c r="N33" s="111"/>
      <c r="O33" s="113" t="s">
        <v>59</v>
      </c>
      <c r="Q33" s="32"/>
    </row>
    <row r="34" spans="1:17" ht="45.6" customHeight="1" outlineLevel="1">
      <c r="A34" s="31" t="s">
        <v>543</v>
      </c>
      <c r="B34" s="31" t="s">
        <v>544</v>
      </c>
      <c r="C34" s="31" t="s">
        <v>545</v>
      </c>
      <c r="D34" s="33" t="s">
        <v>546</v>
      </c>
      <c r="E34" s="33" t="s">
        <v>105</v>
      </c>
      <c r="F34" s="111" t="s">
        <v>37</v>
      </c>
      <c r="G34" s="112" t="s">
        <v>472</v>
      </c>
      <c r="H34" s="111" t="s">
        <v>58</v>
      </c>
      <c r="I34" s="111" t="s">
        <v>37</v>
      </c>
      <c r="J34" s="112" t="s">
        <v>472</v>
      </c>
      <c r="K34" s="111" t="s">
        <v>58</v>
      </c>
      <c r="L34" s="111"/>
      <c r="M34" s="112" t="s">
        <v>51</v>
      </c>
      <c r="N34" s="111"/>
      <c r="O34" s="113" t="s">
        <v>59</v>
      </c>
      <c r="Q34" s="32"/>
    </row>
    <row r="35" spans="1:17" ht="32.4" customHeight="1" outlineLevel="1">
      <c r="A35" s="31" t="s">
        <v>547</v>
      </c>
      <c r="B35" s="31" t="s">
        <v>548</v>
      </c>
      <c r="C35" s="31" t="s">
        <v>549</v>
      </c>
      <c r="D35" s="33" t="s">
        <v>479</v>
      </c>
      <c r="E35" s="33" t="s">
        <v>105</v>
      </c>
      <c r="F35" s="111" t="s">
        <v>37</v>
      </c>
      <c r="G35" s="112" t="s">
        <v>472</v>
      </c>
      <c r="H35" s="111" t="s">
        <v>58</v>
      </c>
      <c r="I35" s="111" t="s">
        <v>37</v>
      </c>
      <c r="J35" s="112" t="s">
        <v>472</v>
      </c>
      <c r="K35" s="111" t="s">
        <v>58</v>
      </c>
      <c r="L35" s="111"/>
      <c r="M35" s="112" t="s">
        <v>51</v>
      </c>
      <c r="N35" s="111"/>
      <c r="O35" s="113" t="s">
        <v>59</v>
      </c>
      <c r="Q35" s="32"/>
    </row>
    <row r="36" spans="1:17" ht="45.6" customHeight="1" outlineLevel="1">
      <c r="A36" s="31" t="s">
        <v>550</v>
      </c>
      <c r="B36" s="31" t="s">
        <v>551</v>
      </c>
      <c r="C36" s="31" t="s">
        <v>552</v>
      </c>
      <c r="D36" s="33" t="s">
        <v>479</v>
      </c>
      <c r="E36" s="33" t="s">
        <v>105</v>
      </c>
      <c r="F36" s="111" t="s">
        <v>37</v>
      </c>
      <c r="G36" s="112" t="s">
        <v>472</v>
      </c>
      <c r="H36" s="111" t="s">
        <v>58</v>
      </c>
      <c r="I36" s="111" t="s">
        <v>37</v>
      </c>
      <c r="J36" s="112" t="s">
        <v>472</v>
      </c>
      <c r="K36" s="111" t="s">
        <v>58</v>
      </c>
      <c r="L36" s="111"/>
      <c r="M36" s="112" t="s">
        <v>51</v>
      </c>
      <c r="N36" s="111"/>
      <c r="O36" s="113" t="s">
        <v>59</v>
      </c>
      <c r="Q36" s="32"/>
    </row>
    <row r="37" spans="1:17" ht="32.4" customHeight="1" outlineLevel="1">
      <c r="A37" s="31" t="s">
        <v>553</v>
      </c>
      <c r="B37" s="31" t="s">
        <v>554</v>
      </c>
      <c r="C37" s="31" t="s">
        <v>555</v>
      </c>
      <c r="D37" s="33" t="s">
        <v>475</v>
      </c>
      <c r="E37" s="33" t="s">
        <v>105</v>
      </c>
      <c r="F37" s="111" t="s">
        <v>37</v>
      </c>
      <c r="G37" s="112" t="s">
        <v>472</v>
      </c>
      <c r="H37" s="111" t="s">
        <v>58</v>
      </c>
      <c r="I37" s="111" t="s">
        <v>37</v>
      </c>
      <c r="J37" s="112" t="s">
        <v>472</v>
      </c>
      <c r="K37" s="111" t="s">
        <v>58</v>
      </c>
      <c r="L37" s="111"/>
      <c r="M37" s="112" t="s">
        <v>51</v>
      </c>
      <c r="N37" s="111"/>
      <c r="O37" s="113" t="s">
        <v>59</v>
      </c>
      <c r="Q37" s="32"/>
    </row>
    <row r="38" spans="1:17" ht="32.4" customHeight="1" outlineLevel="1">
      <c r="A38" s="31" t="s">
        <v>556</v>
      </c>
      <c r="B38" s="31" t="s">
        <v>557</v>
      </c>
      <c r="C38" s="31" t="s">
        <v>545</v>
      </c>
      <c r="D38" s="33" t="s">
        <v>475</v>
      </c>
      <c r="E38" s="33" t="s">
        <v>105</v>
      </c>
      <c r="F38" s="111" t="s">
        <v>37</v>
      </c>
      <c r="G38" s="112" t="s">
        <v>472</v>
      </c>
      <c r="H38" s="111" t="s">
        <v>58</v>
      </c>
      <c r="I38" s="111" t="s">
        <v>37</v>
      </c>
      <c r="J38" s="112" t="s">
        <v>472</v>
      </c>
      <c r="K38" s="111" t="s">
        <v>58</v>
      </c>
      <c r="L38" s="111"/>
      <c r="M38" s="112" t="s">
        <v>51</v>
      </c>
      <c r="N38" s="111"/>
      <c r="O38" s="113" t="s">
        <v>59</v>
      </c>
      <c r="Q38" s="32"/>
    </row>
    <row r="39" spans="1:17" ht="32.4" customHeight="1" outlineLevel="1">
      <c r="A39" s="31" t="s">
        <v>558</v>
      </c>
      <c r="B39" s="31" t="s">
        <v>559</v>
      </c>
      <c r="C39" s="31" t="s">
        <v>560</v>
      </c>
      <c r="D39" s="33" t="s">
        <v>509</v>
      </c>
      <c r="E39" s="33" t="s">
        <v>105</v>
      </c>
      <c r="F39" s="111" t="s">
        <v>37</v>
      </c>
      <c r="G39" s="112" t="s">
        <v>472</v>
      </c>
      <c r="H39" s="111" t="s">
        <v>58</v>
      </c>
      <c r="I39" s="111" t="s">
        <v>37</v>
      </c>
      <c r="J39" s="112" t="s">
        <v>472</v>
      </c>
      <c r="K39" s="111" t="s">
        <v>58</v>
      </c>
      <c r="L39" s="111"/>
      <c r="M39" s="112" t="s">
        <v>51</v>
      </c>
      <c r="N39" s="111"/>
      <c r="O39" s="113" t="s">
        <v>59</v>
      </c>
      <c r="Q39" s="32"/>
    </row>
    <row r="40" spans="1:17" ht="32.4" customHeight="1" outlineLevel="1">
      <c r="A40" s="31" t="s">
        <v>561</v>
      </c>
      <c r="B40" s="31" t="s">
        <v>562</v>
      </c>
      <c r="C40" s="31" t="s">
        <v>560</v>
      </c>
      <c r="D40" s="33" t="s">
        <v>509</v>
      </c>
      <c r="E40" s="33" t="s">
        <v>105</v>
      </c>
      <c r="F40" s="111" t="s">
        <v>37</v>
      </c>
      <c r="G40" s="112" t="s">
        <v>472</v>
      </c>
      <c r="H40" s="111" t="s">
        <v>58</v>
      </c>
      <c r="I40" s="111" t="s">
        <v>37</v>
      </c>
      <c r="J40" s="112" t="s">
        <v>472</v>
      </c>
      <c r="K40" s="111" t="s">
        <v>58</v>
      </c>
      <c r="L40" s="111"/>
      <c r="M40" s="112" t="s">
        <v>51</v>
      </c>
      <c r="N40" s="111"/>
      <c r="O40" s="113" t="s">
        <v>59</v>
      </c>
      <c r="Q40" s="32"/>
    </row>
    <row r="41" spans="1:17" ht="32.4" customHeight="1" outlineLevel="1">
      <c r="A41" s="31" t="s">
        <v>563</v>
      </c>
      <c r="B41" s="31" t="s">
        <v>564</v>
      </c>
      <c r="C41" s="31" t="s">
        <v>549</v>
      </c>
      <c r="D41" s="33" t="s">
        <v>479</v>
      </c>
      <c r="E41" s="33" t="s">
        <v>486</v>
      </c>
      <c r="F41" s="111" t="s">
        <v>37</v>
      </c>
      <c r="G41" s="112" t="s">
        <v>472</v>
      </c>
      <c r="H41" s="111" t="s">
        <v>58</v>
      </c>
      <c r="I41" s="111" t="s">
        <v>37</v>
      </c>
      <c r="J41" s="112" t="s">
        <v>472</v>
      </c>
      <c r="K41" s="111" t="s">
        <v>58</v>
      </c>
      <c r="L41" s="111"/>
      <c r="M41" s="112" t="s">
        <v>51</v>
      </c>
      <c r="N41" s="111"/>
      <c r="O41" s="113" t="s">
        <v>59</v>
      </c>
      <c r="Q41" s="32"/>
    </row>
  </sheetData>
  <mergeCells count="3">
    <mergeCell ref="B2:E2"/>
    <mergeCell ref="B3:E3"/>
    <mergeCell ref="B4:E4"/>
  </mergeCells>
  <dataValidations count="3">
    <dataValidation allowBlank="1" showErrorMessage="1" sqref="F10 I10 L10" xr:uid="{68A1BFA7-6C62-410E-89EC-8D9742812A7D}"/>
    <dataValidation type="list" allowBlank="1" showErrorMessage="1" sqref="G2:G3 G9 G42:G169 J2:J3 J9 J42:J169 M2:M3 M9 M42:M169" xr:uid="{5EAE3246-F3DF-43DC-ADF9-26998ADEE808}">
      <formula1>$R$2:$R$5</formula1>
      <formula2>0</formula2>
    </dataValidation>
    <dataValidation type="list" allowBlank="1" showInputMessage="1" showErrorMessage="1" sqref="F11:F41 I11:I41 L11:L41" xr:uid="{8D2466BE-7DDD-465F-B285-30BA0AE03C77}">
      <formula1>$R$2:$R$5</formula1>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1C8FD-A1A9-41F9-BF4B-B131C1A047EF}">
  <sheetPr>
    <outlinePr summaryBelow="0" summaryRight="0"/>
  </sheetPr>
  <dimension ref="A1:R31"/>
  <sheetViews>
    <sheetView zoomScale="85" zoomScaleNormal="85" workbookViewId="0">
      <pane ySplit="10" topLeftCell="A11" activePane="bottomLeft" state="frozen"/>
      <selection pane="bottomLeft"/>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14.77734375" style="1" customWidth="1" outlineLevel="1"/>
    <col min="9" max="9" width="9.33203125" style="1" customWidth="1"/>
    <col min="10" max="10" width="10.6640625" style="1" customWidth="1" outlineLevel="1"/>
    <col min="11" max="11" width="14.77734375" style="1" customWidth="1" outlineLevel="1"/>
    <col min="12" max="12" width="9.33203125" style="1" customWidth="1"/>
    <col min="13" max="13" width="10.6640625" style="1" customWidth="1" outlineLevel="1"/>
    <col min="14" max="14" width="14.77734375" style="1" customWidth="1" outlineLevel="1"/>
    <col min="15" max="15" width="28.6640625" style="1" customWidth="1"/>
    <col min="16" max="16" width="10.109375" style="1" customWidth="1"/>
    <col min="17" max="17" width="8.109375" style="23" customWidth="1"/>
    <col min="18" max="18" width="7.6640625" style="1" hidden="1" customWidth="1"/>
    <col min="19" max="16384" width="9" style="1"/>
  </cols>
  <sheetData>
    <row r="1" spans="1:18" ht="13.8" thickBot="1"/>
    <row r="2" spans="1:18" s="25" customFormat="1" ht="15" customHeight="1">
      <c r="A2" s="77" t="s">
        <v>35</v>
      </c>
      <c r="B2" s="105" t="s">
        <v>565</v>
      </c>
      <c r="C2" s="105"/>
      <c r="D2" s="105"/>
      <c r="E2" s="106"/>
      <c r="F2" s="67"/>
      <c r="G2" s="61"/>
      <c r="H2" s="9"/>
      <c r="I2" s="67"/>
      <c r="J2" s="61"/>
      <c r="K2" s="9"/>
      <c r="L2" s="67"/>
      <c r="M2" s="61"/>
      <c r="N2" s="9"/>
      <c r="O2" s="9"/>
      <c r="P2" s="9"/>
      <c r="Q2" s="24"/>
      <c r="R2" s="25" t="s">
        <v>37</v>
      </c>
    </row>
    <row r="3" spans="1:18" s="25" customFormat="1" ht="28.05" customHeight="1">
      <c r="A3" s="78" t="s">
        <v>20</v>
      </c>
      <c r="B3" s="107" t="s">
        <v>566</v>
      </c>
      <c r="C3" s="107"/>
      <c r="D3" s="107"/>
      <c r="E3" s="108"/>
      <c r="F3" s="67"/>
      <c r="G3" s="61"/>
      <c r="H3" s="9"/>
      <c r="I3" s="67"/>
      <c r="J3" s="61"/>
      <c r="K3" s="9"/>
      <c r="L3" s="67"/>
      <c r="M3" s="61"/>
      <c r="N3" s="9"/>
      <c r="O3" s="9"/>
      <c r="P3" s="9"/>
      <c r="Q3" s="24"/>
      <c r="R3" s="25" t="s">
        <v>38</v>
      </c>
    </row>
    <row r="4" spans="1:18" s="25" customFormat="1" ht="18" customHeight="1">
      <c r="A4" s="78" t="s">
        <v>45</v>
      </c>
      <c r="B4" s="107">
        <f>COUNTA(B11:B2012)</f>
        <v>21</v>
      </c>
      <c r="C4" s="107"/>
      <c r="D4" s="107"/>
      <c r="E4" s="108"/>
      <c r="F4" s="67"/>
      <c r="G4" s="61"/>
      <c r="H4" s="9"/>
      <c r="I4" s="67"/>
      <c r="J4" s="61"/>
      <c r="K4" s="9"/>
      <c r="L4" s="67"/>
      <c r="M4" s="61"/>
      <c r="N4" s="9"/>
      <c r="O4" s="9"/>
      <c r="P4" s="9"/>
      <c r="Q4" s="24"/>
      <c r="R4" s="25" t="s">
        <v>36</v>
      </c>
    </row>
    <row r="5" spans="1:18" s="25" customFormat="1" ht="19.5" customHeight="1">
      <c r="A5" s="71" t="s">
        <v>39</v>
      </c>
      <c r="B5" s="69" t="s">
        <v>37</v>
      </c>
      <c r="C5" s="69" t="s">
        <v>38</v>
      </c>
      <c r="D5" s="69" t="s">
        <v>36</v>
      </c>
      <c r="E5" s="72" t="s">
        <v>22</v>
      </c>
      <c r="F5" s="62"/>
      <c r="G5" s="62"/>
      <c r="H5" s="26"/>
      <c r="I5" s="62"/>
      <c r="J5" s="62"/>
      <c r="K5" s="26"/>
      <c r="L5" s="62"/>
      <c r="M5" s="62"/>
      <c r="N5" s="26"/>
      <c r="O5" s="26"/>
      <c r="P5" s="26"/>
      <c r="Q5" s="27"/>
      <c r="R5" s="25" t="s">
        <v>22</v>
      </c>
    </row>
    <row r="6" spans="1:18" s="25" customFormat="1" ht="15" customHeight="1">
      <c r="A6" s="71" t="s">
        <v>40</v>
      </c>
      <c r="B6" s="70">
        <f>COUNTIF($F$11:$F$2012,B$5)</f>
        <v>21</v>
      </c>
      <c r="C6" s="70">
        <f>COUNTIF($F$11:$F$2012,C$5)</f>
        <v>0</v>
      </c>
      <c r="D6" s="70">
        <f>COUNTIF($F$11:$F$2012,D$5)</f>
        <v>0</v>
      </c>
      <c r="E6" s="76">
        <f>COUNTIF($F$11:$F$2012,E$5)</f>
        <v>0</v>
      </c>
      <c r="F6" s="63"/>
      <c r="G6" s="63"/>
      <c r="H6" s="26"/>
      <c r="I6" s="63"/>
      <c r="J6" s="63"/>
      <c r="K6" s="26"/>
      <c r="L6" s="63"/>
      <c r="M6" s="63"/>
      <c r="N6" s="26"/>
      <c r="O6" s="26"/>
      <c r="P6" s="26"/>
      <c r="Q6" s="27"/>
    </row>
    <row r="7" spans="1:18" s="25" customFormat="1" ht="15" customHeight="1">
      <c r="A7" s="71" t="s">
        <v>42</v>
      </c>
      <c r="B7" s="70">
        <f>COUNTIF($I$11:$I$2012,B$5)</f>
        <v>21</v>
      </c>
      <c r="C7" s="70">
        <f>COUNTIF($I$11:$I$2012,C$5)</f>
        <v>0</v>
      </c>
      <c r="D7" s="70">
        <f>COUNTIF($I$11:$I$2012,D$5)</f>
        <v>0</v>
      </c>
      <c r="E7" s="76">
        <f>COUNTIF($I$11:$I$2012,E$5)</f>
        <v>0</v>
      </c>
      <c r="F7" s="63"/>
      <c r="G7" s="63"/>
      <c r="H7" s="26"/>
      <c r="I7" s="63"/>
      <c r="J7" s="63"/>
      <c r="K7" s="26"/>
      <c r="L7" s="63"/>
      <c r="M7" s="63"/>
      <c r="N7" s="26"/>
      <c r="O7" s="26"/>
      <c r="P7" s="26"/>
      <c r="Q7" s="27"/>
    </row>
    <row r="8" spans="1:18" s="25" customFormat="1" ht="15" customHeight="1" thickBot="1">
      <c r="A8" s="73" t="s">
        <v>43</v>
      </c>
      <c r="B8" s="74">
        <f>COUNTIF($L$11:$L$2012,B$5)</f>
        <v>0</v>
      </c>
      <c r="C8" s="74">
        <f>COUNTIF($L$11:$L$2012,C$5)</f>
        <v>0</v>
      </c>
      <c r="D8" s="74">
        <f>COUNTIF($L$11:$L$2012,D$5)</f>
        <v>0</v>
      </c>
      <c r="E8" s="75">
        <f>COUNTIF($L$11:$L$2012,E$5)</f>
        <v>0</v>
      </c>
      <c r="F8" s="63"/>
      <c r="G8" s="63"/>
      <c r="H8" s="26"/>
      <c r="I8" s="63"/>
      <c r="J8" s="63"/>
      <c r="K8" s="26"/>
      <c r="L8" s="63"/>
      <c r="M8" s="63"/>
      <c r="N8" s="26"/>
      <c r="O8" s="26"/>
      <c r="P8" s="26"/>
      <c r="Q8" s="27"/>
    </row>
    <row r="9" spans="1:18" s="25" customFormat="1" ht="15" customHeight="1">
      <c r="A9" s="26"/>
      <c r="B9" s="26"/>
      <c r="C9" s="26"/>
      <c r="D9" s="26"/>
      <c r="E9" s="26"/>
      <c r="F9" s="28"/>
      <c r="G9" s="26"/>
      <c r="H9" s="26"/>
      <c r="I9" s="28"/>
      <c r="J9" s="26"/>
      <c r="K9" s="26"/>
      <c r="L9" s="28"/>
      <c r="M9" s="26"/>
      <c r="N9" s="26"/>
      <c r="O9" s="26"/>
      <c r="P9" s="26"/>
      <c r="Q9" s="27"/>
    </row>
    <row r="10" spans="1:18" s="25" customFormat="1" ht="25.5" customHeight="1">
      <c r="A10" s="68" t="s">
        <v>44</v>
      </c>
      <c r="B10" s="68" t="s">
        <v>23</v>
      </c>
      <c r="C10" s="68" t="s">
        <v>34</v>
      </c>
      <c r="D10" s="68" t="s">
        <v>33</v>
      </c>
      <c r="E10" s="68" t="s">
        <v>41</v>
      </c>
      <c r="F10" s="68" t="s">
        <v>40</v>
      </c>
      <c r="G10" s="68" t="s">
        <v>24</v>
      </c>
      <c r="H10" s="68" t="s">
        <v>21</v>
      </c>
      <c r="I10" s="68" t="s">
        <v>42</v>
      </c>
      <c r="J10" s="68" t="s">
        <v>24</v>
      </c>
      <c r="K10" s="68" t="s">
        <v>21</v>
      </c>
      <c r="L10" s="68" t="s">
        <v>43</v>
      </c>
      <c r="M10" s="68" t="s">
        <v>24</v>
      </c>
      <c r="N10" s="68" t="s">
        <v>21</v>
      </c>
      <c r="O10" s="68" t="s">
        <v>25</v>
      </c>
      <c r="Q10" s="29"/>
    </row>
    <row r="11" spans="1:18" ht="32.4" customHeight="1" outlineLevel="1">
      <c r="A11" s="31" t="s">
        <v>567</v>
      </c>
      <c r="B11" s="31" t="s">
        <v>568</v>
      </c>
      <c r="C11" s="31" t="s">
        <v>569</v>
      </c>
      <c r="D11" s="33" t="s">
        <v>570</v>
      </c>
      <c r="E11" s="33" t="s">
        <v>571</v>
      </c>
      <c r="F11" s="111" t="s">
        <v>37</v>
      </c>
      <c r="G11" s="112" t="s">
        <v>472</v>
      </c>
      <c r="H11" s="111" t="s">
        <v>58</v>
      </c>
      <c r="I11" s="111" t="s">
        <v>37</v>
      </c>
      <c r="J11" s="112" t="s">
        <v>472</v>
      </c>
      <c r="K11" s="111" t="s">
        <v>58</v>
      </c>
      <c r="L11" s="111"/>
      <c r="M11" s="112" t="s">
        <v>51</v>
      </c>
      <c r="N11" s="111"/>
      <c r="O11" s="113" t="s">
        <v>59</v>
      </c>
      <c r="Q11" s="32"/>
    </row>
    <row r="12" spans="1:18" ht="32.4" customHeight="1" outlineLevel="1">
      <c r="A12" s="31" t="s">
        <v>572</v>
      </c>
      <c r="B12" s="31" t="s">
        <v>573</v>
      </c>
      <c r="C12" s="31" t="s">
        <v>569</v>
      </c>
      <c r="D12" s="33" t="s">
        <v>475</v>
      </c>
      <c r="E12" s="33" t="s">
        <v>486</v>
      </c>
      <c r="F12" s="111" t="s">
        <v>37</v>
      </c>
      <c r="G12" s="112" t="s">
        <v>472</v>
      </c>
      <c r="H12" s="111" t="s">
        <v>58</v>
      </c>
      <c r="I12" s="111" t="s">
        <v>37</v>
      </c>
      <c r="J12" s="112" t="s">
        <v>472</v>
      </c>
      <c r="K12" s="111" t="s">
        <v>58</v>
      </c>
      <c r="L12" s="111"/>
      <c r="M12" s="112" t="s">
        <v>51</v>
      </c>
      <c r="N12" s="111"/>
      <c r="O12" s="113" t="s">
        <v>59</v>
      </c>
      <c r="Q12" s="32"/>
    </row>
    <row r="13" spans="1:18" ht="32.4" customHeight="1" outlineLevel="1">
      <c r="A13" s="31" t="s">
        <v>574</v>
      </c>
      <c r="B13" s="31" t="s">
        <v>575</v>
      </c>
      <c r="C13" s="31" t="s">
        <v>569</v>
      </c>
      <c r="D13" s="33" t="s">
        <v>576</v>
      </c>
      <c r="E13" s="33" t="s">
        <v>571</v>
      </c>
      <c r="F13" s="111" t="s">
        <v>37</v>
      </c>
      <c r="G13" s="112" t="s">
        <v>472</v>
      </c>
      <c r="H13" s="111" t="s">
        <v>58</v>
      </c>
      <c r="I13" s="111" t="s">
        <v>37</v>
      </c>
      <c r="J13" s="112" t="s">
        <v>472</v>
      </c>
      <c r="K13" s="111" t="s">
        <v>58</v>
      </c>
      <c r="L13" s="111"/>
      <c r="M13" s="112" t="s">
        <v>51</v>
      </c>
      <c r="N13" s="111"/>
      <c r="O13" s="113" t="s">
        <v>59</v>
      </c>
      <c r="Q13" s="32"/>
    </row>
    <row r="14" spans="1:18" ht="32.4" customHeight="1" outlineLevel="1">
      <c r="A14" s="31" t="s">
        <v>577</v>
      </c>
      <c r="B14" s="31" t="s">
        <v>578</v>
      </c>
      <c r="C14" s="31" t="s">
        <v>579</v>
      </c>
      <c r="D14" s="33" t="s">
        <v>479</v>
      </c>
      <c r="E14" s="33" t="s">
        <v>571</v>
      </c>
      <c r="F14" s="111" t="s">
        <v>37</v>
      </c>
      <c r="G14" s="112" t="s">
        <v>472</v>
      </c>
      <c r="H14" s="111" t="s">
        <v>58</v>
      </c>
      <c r="I14" s="111" t="s">
        <v>37</v>
      </c>
      <c r="J14" s="112" t="s">
        <v>472</v>
      </c>
      <c r="K14" s="111" t="s">
        <v>58</v>
      </c>
      <c r="L14" s="111"/>
      <c r="M14" s="112" t="s">
        <v>51</v>
      </c>
      <c r="N14" s="111"/>
      <c r="O14" s="113" t="s">
        <v>59</v>
      </c>
      <c r="Q14" s="32"/>
    </row>
    <row r="15" spans="1:18" ht="32.4" customHeight="1" outlineLevel="1">
      <c r="A15" s="31" t="s">
        <v>580</v>
      </c>
      <c r="B15" s="31" t="s">
        <v>581</v>
      </c>
      <c r="C15" s="31" t="s">
        <v>582</v>
      </c>
      <c r="D15" s="33" t="s">
        <v>528</v>
      </c>
      <c r="E15" s="33" t="s">
        <v>571</v>
      </c>
      <c r="F15" s="111" t="s">
        <v>37</v>
      </c>
      <c r="G15" s="112" t="s">
        <v>472</v>
      </c>
      <c r="H15" s="111" t="s">
        <v>58</v>
      </c>
      <c r="I15" s="111" t="s">
        <v>37</v>
      </c>
      <c r="J15" s="112" t="s">
        <v>472</v>
      </c>
      <c r="K15" s="111" t="s">
        <v>58</v>
      </c>
      <c r="L15" s="111"/>
      <c r="M15" s="112" t="s">
        <v>51</v>
      </c>
      <c r="N15" s="111"/>
      <c r="O15" s="113" t="s">
        <v>59</v>
      </c>
      <c r="Q15" s="32"/>
    </row>
    <row r="16" spans="1:18" ht="32.4" customHeight="1" outlineLevel="1">
      <c r="A16" s="31" t="s">
        <v>583</v>
      </c>
      <c r="B16" s="31" t="s">
        <v>584</v>
      </c>
      <c r="C16" s="31" t="s">
        <v>585</v>
      </c>
      <c r="D16" s="33" t="s">
        <v>528</v>
      </c>
      <c r="E16" s="33" t="s">
        <v>571</v>
      </c>
      <c r="F16" s="111" t="s">
        <v>37</v>
      </c>
      <c r="G16" s="112" t="s">
        <v>472</v>
      </c>
      <c r="H16" s="111" t="s">
        <v>58</v>
      </c>
      <c r="I16" s="111" t="s">
        <v>37</v>
      </c>
      <c r="J16" s="112" t="s">
        <v>472</v>
      </c>
      <c r="K16" s="111" t="s">
        <v>58</v>
      </c>
      <c r="L16" s="111"/>
      <c r="M16" s="112" t="s">
        <v>51</v>
      </c>
      <c r="N16" s="111"/>
      <c r="O16" s="113" t="s">
        <v>59</v>
      </c>
      <c r="Q16" s="32"/>
    </row>
    <row r="17" spans="1:17" ht="32.4" customHeight="1" outlineLevel="1">
      <c r="A17" s="31" t="s">
        <v>586</v>
      </c>
      <c r="B17" s="31" t="s">
        <v>587</v>
      </c>
      <c r="C17" s="31" t="s">
        <v>588</v>
      </c>
      <c r="D17" s="33" t="s">
        <v>479</v>
      </c>
      <c r="E17" s="33" t="s">
        <v>105</v>
      </c>
      <c r="F17" s="111" t="s">
        <v>37</v>
      </c>
      <c r="G17" s="112" t="s">
        <v>472</v>
      </c>
      <c r="H17" s="111" t="s">
        <v>58</v>
      </c>
      <c r="I17" s="111" t="s">
        <v>37</v>
      </c>
      <c r="J17" s="112" t="s">
        <v>472</v>
      </c>
      <c r="K17" s="111" t="s">
        <v>58</v>
      </c>
      <c r="L17" s="111"/>
      <c r="M17" s="112" t="s">
        <v>51</v>
      </c>
      <c r="N17" s="111"/>
      <c r="O17" s="113" t="s">
        <v>59</v>
      </c>
      <c r="Q17" s="32"/>
    </row>
    <row r="18" spans="1:17" ht="32.4" customHeight="1" outlineLevel="1">
      <c r="A18" s="31" t="s">
        <v>589</v>
      </c>
      <c r="B18" s="31" t="s">
        <v>590</v>
      </c>
      <c r="C18" s="31" t="s">
        <v>569</v>
      </c>
      <c r="D18" s="33" t="s">
        <v>591</v>
      </c>
      <c r="E18" s="33" t="s">
        <v>571</v>
      </c>
      <c r="F18" s="111" t="s">
        <v>37</v>
      </c>
      <c r="G18" s="112" t="s">
        <v>472</v>
      </c>
      <c r="H18" s="111" t="s">
        <v>58</v>
      </c>
      <c r="I18" s="111" t="s">
        <v>37</v>
      </c>
      <c r="J18" s="112" t="s">
        <v>472</v>
      </c>
      <c r="K18" s="111" t="s">
        <v>58</v>
      </c>
      <c r="L18" s="111"/>
      <c r="M18" s="112" t="s">
        <v>51</v>
      </c>
      <c r="N18" s="111"/>
      <c r="O18" s="113" t="s">
        <v>59</v>
      </c>
      <c r="Q18" s="32"/>
    </row>
    <row r="19" spans="1:17" ht="45.6" customHeight="1" outlineLevel="1">
      <c r="A19" s="31" t="s">
        <v>592</v>
      </c>
      <c r="B19" s="31" t="s">
        <v>593</v>
      </c>
      <c r="C19" s="31" t="s">
        <v>594</v>
      </c>
      <c r="D19" s="33" t="s">
        <v>595</v>
      </c>
      <c r="E19" s="33" t="s">
        <v>571</v>
      </c>
      <c r="F19" s="111" t="s">
        <v>37</v>
      </c>
      <c r="G19" s="112" t="s">
        <v>472</v>
      </c>
      <c r="H19" s="111" t="s">
        <v>58</v>
      </c>
      <c r="I19" s="111" t="s">
        <v>37</v>
      </c>
      <c r="J19" s="112" t="s">
        <v>472</v>
      </c>
      <c r="K19" s="111" t="s">
        <v>58</v>
      </c>
      <c r="L19" s="111"/>
      <c r="M19" s="112" t="s">
        <v>51</v>
      </c>
      <c r="N19" s="111"/>
      <c r="O19" s="113" t="s">
        <v>59</v>
      </c>
      <c r="Q19" s="32"/>
    </row>
    <row r="20" spans="1:17" ht="45.6" customHeight="1" outlineLevel="1">
      <c r="A20" s="31" t="s">
        <v>596</v>
      </c>
      <c r="B20" s="31" t="s">
        <v>597</v>
      </c>
      <c r="C20" s="31" t="s">
        <v>594</v>
      </c>
      <c r="D20" s="33" t="s">
        <v>598</v>
      </c>
      <c r="E20" s="33" t="s">
        <v>571</v>
      </c>
      <c r="F20" s="111" t="s">
        <v>37</v>
      </c>
      <c r="G20" s="112" t="s">
        <v>472</v>
      </c>
      <c r="H20" s="111" t="s">
        <v>58</v>
      </c>
      <c r="I20" s="111" t="s">
        <v>37</v>
      </c>
      <c r="J20" s="112" t="s">
        <v>472</v>
      </c>
      <c r="K20" s="111" t="s">
        <v>58</v>
      </c>
      <c r="L20" s="111"/>
      <c r="M20" s="112" t="s">
        <v>51</v>
      </c>
      <c r="N20" s="111"/>
      <c r="O20" s="113" t="s">
        <v>59</v>
      </c>
      <c r="Q20" s="32"/>
    </row>
    <row r="21" spans="1:17" ht="45.6" customHeight="1" outlineLevel="1">
      <c r="A21" s="31" t="s">
        <v>599</v>
      </c>
      <c r="B21" s="31" t="s">
        <v>600</v>
      </c>
      <c r="C21" s="31" t="s">
        <v>601</v>
      </c>
      <c r="D21" s="33" t="s">
        <v>602</v>
      </c>
      <c r="E21" s="33" t="s">
        <v>571</v>
      </c>
      <c r="F21" s="111" t="s">
        <v>37</v>
      </c>
      <c r="G21" s="112" t="s">
        <v>472</v>
      </c>
      <c r="H21" s="111" t="s">
        <v>58</v>
      </c>
      <c r="I21" s="111" t="s">
        <v>37</v>
      </c>
      <c r="J21" s="112" t="s">
        <v>472</v>
      </c>
      <c r="K21" s="111" t="s">
        <v>58</v>
      </c>
      <c r="L21" s="111"/>
      <c r="M21" s="112" t="s">
        <v>51</v>
      </c>
      <c r="N21" s="111"/>
      <c r="O21" s="113" t="s">
        <v>59</v>
      </c>
      <c r="Q21" s="32"/>
    </row>
    <row r="22" spans="1:17" ht="32.4" customHeight="1" outlineLevel="1">
      <c r="A22" s="31" t="s">
        <v>603</v>
      </c>
      <c r="B22" s="31" t="s">
        <v>604</v>
      </c>
      <c r="C22" s="31" t="s">
        <v>605</v>
      </c>
      <c r="D22" s="33" t="s">
        <v>598</v>
      </c>
      <c r="E22" s="33" t="s">
        <v>571</v>
      </c>
      <c r="F22" s="111" t="s">
        <v>37</v>
      </c>
      <c r="G22" s="112" t="s">
        <v>472</v>
      </c>
      <c r="H22" s="111" t="s">
        <v>58</v>
      </c>
      <c r="I22" s="111" t="s">
        <v>37</v>
      </c>
      <c r="J22" s="112" t="s">
        <v>472</v>
      </c>
      <c r="K22" s="111" t="s">
        <v>58</v>
      </c>
      <c r="L22" s="111"/>
      <c r="M22" s="112" t="s">
        <v>51</v>
      </c>
      <c r="N22" s="111"/>
      <c r="O22" s="113" t="s">
        <v>59</v>
      </c>
      <c r="Q22" s="32"/>
    </row>
    <row r="23" spans="1:17" ht="32.4" customHeight="1" outlineLevel="1">
      <c r="A23" s="31" t="s">
        <v>606</v>
      </c>
      <c r="B23" s="31" t="s">
        <v>607</v>
      </c>
      <c r="C23" s="31" t="s">
        <v>605</v>
      </c>
      <c r="D23" s="33" t="s">
        <v>500</v>
      </c>
      <c r="E23" s="33" t="s">
        <v>571</v>
      </c>
      <c r="F23" s="111" t="s">
        <v>37</v>
      </c>
      <c r="G23" s="112" t="s">
        <v>472</v>
      </c>
      <c r="H23" s="111" t="s">
        <v>58</v>
      </c>
      <c r="I23" s="111" t="s">
        <v>37</v>
      </c>
      <c r="J23" s="112" t="s">
        <v>472</v>
      </c>
      <c r="K23" s="111" t="s">
        <v>58</v>
      </c>
      <c r="L23" s="111"/>
      <c r="M23" s="112" t="s">
        <v>51</v>
      </c>
      <c r="N23" s="111"/>
      <c r="O23" s="113" t="s">
        <v>59</v>
      </c>
      <c r="Q23" s="32"/>
    </row>
    <row r="24" spans="1:17" ht="32.4" customHeight="1" outlineLevel="1">
      <c r="A24" s="31" t="s">
        <v>608</v>
      </c>
      <c r="B24" s="31" t="s">
        <v>609</v>
      </c>
      <c r="C24" s="31" t="s">
        <v>610</v>
      </c>
      <c r="D24" s="33" t="s">
        <v>591</v>
      </c>
      <c r="E24" s="33" t="s">
        <v>571</v>
      </c>
      <c r="F24" s="111" t="s">
        <v>37</v>
      </c>
      <c r="G24" s="112" t="s">
        <v>472</v>
      </c>
      <c r="H24" s="111" t="s">
        <v>58</v>
      </c>
      <c r="I24" s="111" t="s">
        <v>37</v>
      </c>
      <c r="J24" s="112" t="s">
        <v>472</v>
      </c>
      <c r="K24" s="111" t="s">
        <v>58</v>
      </c>
      <c r="L24" s="111"/>
      <c r="M24" s="112" t="s">
        <v>51</v>
      </c>
      <c r="N24" s="111"/>
      <c r="O24" s="113" t="s">
        <v>59</v>
      </c>
      <c r="Q24" s="32"/>
    </row>
    <row r="25" spans="1:17" ht="32.4" customHeight="1" outlineLevel="1">
      <c r="A25" s="31" t="s">
        <v>611</v>
      </c>
      <c r="B25" s="31" t="s">
        <v>612</v>
      </c>
      <c r="C25" s="31" t="s">
        <v>610</v>
      </c>
      <c r="D25" s="33" t="s">
        <v>598</v>
      </c>
      <c r="E25" s="33" t="s">
        <v>571</v>
      </c>
      <c r="F25" s="111" t="s">
        <v>37</v>
      </c>
      <c r="G25" s="112" t="s">
        <v>472</v>
      </c>
      <c r="H25" s="111" t="s">
        <v>58</v>
      </c>
      <c r="I25" s="111" t="s">
        <v>37</v>
      </c>
      <c r="J25" s="112" t="s">
        <v>472</v>
      </c>
      <c r="K25" s="111" t="s">
        <v>58</v>
      </c>
      <c r="L25" s="111"/>
      <c r="M25" s="112" t="s">
        <v>51</v>
      </c>
      <c r="N25" s="111"/>
      <c r="O25" s="113" t="s">
        <v>59</v>
      </c>
      <c r="Q25" s="32"/>
    </row>
    <row r="26" spans="1:17" ht="32.4" customHeight="1" outlineLevel="1">
      <c r="A26" s="31" t="s">
        <v>613</v>
      </c>
      <c r="B26" s="31" t="s">
        <v>614</v>
      </c>
      <c r="C26" s="31" t="s">
        <v>615</v>
      </c>
      <c r="D26" s="33" t="s">
        <v>500</v>
      </c>
      <c r="E26" s="33" t="s">
        <v>571</v>
      </c>
      <c r="F26" s="111" t="s">
        <v>37</v>
      </c>
      <c r="G26" s="112" t="s">
        <v>472</v>
      </c>
      <c r="H26" s="111" t="s">
        <v>58</v>
      </c>
      <c r="I26" s="111" t="s">
        <v>37</v>
      </c>
      <c r="J26" s="112" t="s">
        <v>472</v>
      </c>
      <c r="K26" s="111" t="s">
        <v>58</v>
      </c>
      <c r="L26" s="111"/>
      <c r="M26" s="112" t="s">
        <v>51</v>
      </c>
      <c r="N26" s="111"/>
      <c r="O26" s="113" t="s">
        <v>59</v>
      </c>
      <c r="Q26" s="32"/>
    </row>
    <row r="27" spans="1:17" ht="32.4" customHeight="1" outlineLevel="1">
      <c r="A27" s="31" t="s">
        <v>616</v>
      </c>
      <c r="B27" s="31" t="s">
        <v>355</v>
      </c>
      <c r="C27" s="31" t="s">
        <v>615</v>
      </c>
      <c r="D27" s="33" t="s">
        <v>475</v>
      </c>
      <c r="E27" s="33" t="s">
        <v>571</v>
      </c>
      <c r="F27" s="111" t="s">
        <v>37</v>
      </c>
      <c r="G27" s="112" t="s">
        <v>472</v>
      </c>
      <c r="H27" s="111" t="s">
        <v>58</v>
      </c>
      <c r="I27" s="111" t="s">
        <v>37</v>
      </c>
      <c r="J27" s="112" t="s">
        <v>472</v>
      </c>
      <c r="K27" s="111" t="s">
        <v>58</v>
      </c>
      <c r="L27" s="111"/>
      <c r="M27" s="112" t="s">
        <v>51</v>
      </c>
      <c r="N27" s="111"/>
      <c r="O27" s="113" t="s">
        <v>59</v>
      </c>
      <c r="Q27" s="32"/>
    </row>
    <row r="28" spans="1:17" ht="32.4" customHeight="1" outlineLevel="1">
      <c r="A28" s="31" t="s">
        <v>617</v>
      </c>
      <c r="B28" s="31" t="s">
        <v>618</v>
      </c>
      <c r="C28" s="31" t="s">
        <v>615</v>
      </c>
      <c r="D28" s="33" t="s">
        <v>598</v>
      </c>
      <c r="E28" s="33" t="s">
        <v>571</v>
      </c>
      <c r="F28" s="111" t="s">
        <v>37</v>
      </c>
      <c r="G28" s="112" t="s">
        <v>472</v>
      </c>
      <c r="H28" s="111" t="s">
        <v>58</v>
      </c>
      <c r="I28" s="111" t="s">
        <v>37</v>
      </c>
      <c r="J28" s="112" t="s">
        <v>472</v>
      </c>
      <c r="K28" s="111" t="s">
        <v>58</v>
      </c>
      <c r="L28" s="111"/>
      <c r="M28" s="112" t="s">
        <v>51</v>
      </c>
      <c r="N28" s="111"/>
      <c r="O28" s="113" t="s">
        <v>59</v>
      </c>
      <c r="Q28" s="32"/>
    </row>
    <row r="29" spans="1:17" ht="32.4" customHeight="1" outlineLevel="1">
      <c r="A29" s="31" t="s">
        <v>619</v>
      </c>
      <c r="B29" s="31" t="s">
        <v>620</v>
      </c>
      <c r="C29" s="31" t="s">
        <v>569</v>
      </c>
      <c r="D29" s="33" t="s">
        <v>489</v>
      </c>
      <c r="E29" s="33" t="s">
        <v>105</v>
      </c>
      <c r="F29" s="111" t="s">
        <v>37</v>
      </c>
      <c r="G29" s="112" t="s">
        <v>472</v>
      </c>
      <c r="H29" s="111" t="s">
        <v>58</v>
      </c>
      <c r="I29" s="111" t="s">
        <v>37</v>
      </c>
      <c r="J29" s="112" t="s">
        <v>472</v>
      </c>
      <c r="K29" s="111" t="s">
        <v>58</v>
      </c>
      <c r="L29" s="111"/>
      <c r="M29" s="112" t="s">
        <v>51</v>
      </c>
      <c r="N29" s="111"/>
      <c r="O29" s="113" t="s">
        <v>59</v>
      </c>
      <c r="Q29" s="32"/>
    </row>
    <row r="30" spans="1:17" ht="32.4" customHeight="1" outlineLevel="1">
      <c r="A30" s="31" t="s">
        <v>621</v>
      </c>
      <c r="B30" s="31" t="s">
        <v>622</v>
      </c>
      <c r="C30" s="31" t="s">
        <v>623</v>
      </c>
      <c r="D30" s="33" t="s">
        <v>500</v>
      </c>
      <c r="E30" s="33" t="s">
        <v>571</v>
      </c>
      <c r="F30" s="111" t="s">
        <v>37</v>
      </c>
      <c r="G30" s="112" t="s">
        <v>472</v>
      </c>
      <c r="H30" s="111" t="s">
        <v>58</v>
      </c>
      <c r="I30" s="111" t="s">
        <v>37</v>
      </c>
      <c r="J30" s="112" t="s">
        <v>472</v>
      </c>
      <c r="K30" s="111" t="s">
        <v>58</v>
      </c>
      <c r="L30" s="111"/>
      <c r="M30" s="112" t="s">
        <v>51</v>
      </c>
      <c r="N30" s="111"/>
      <c r="O30" s="113" t="s">
        <v>59</v>
      </c>
      <c r="Q30" s="32"/>
    </row>
    <row r="31" spans="1:17" ht="45.6" customHeight="1" outlineLevel="1">
      <c r="A31" s="31" t="s">
        <v>624</v>
      </c>
      <c r="B31" s="31" t="s">
        <v>625</v>
      </c>
      <c r="C31" s="31" t="s">
        <v>626</v>
      </c>
      <c r="D31" s="33" t="s">
        <v>598</v>
      </c>
      <c r="E31" s="33" t="s">
        <v>571</v>
      </c>
      <c r="F31" s="111" t="s">
        <v>37</v>
      </c>
      <c r="G31" s="112" t="s">
        <v>472</v>
      </c>
      <c r="H31" s="111" t="s">
        <v>58</v>
      </c>
      <c r="I31" s="111" t="s">
        <v>37</v>
      </c>
      <c r="J31" s="112" t="s">
        <v>472</v>
      </c>
      <c r="K31" s="111" t="s">
        <v>58</v>
      </c>
      <c r="L31" s="111"/>
      <c r="M31" s="112" t="s">
        <v>51</v>
      </c>
      <c r="N31" s="111"/>
      <c r="O31" s="113" t="s">
        <v>59</v>
      </c>
      <c r="Q31" s="32"/>
    </row>
  </sheetData>
  <mergeCells count="3">
    <mergeCell ref="B2:E2"/>
    <mergeCell ref="B3:E3"/>
    <mergeCell ref="B4:E4"/>
  </mergeCells>
  <dataValidations count="3">
    <dataValidation allowBlank="1" showErrorMessage="1" sqref="F10 I10 L10" xr:uid="{196D6F1A-2C94-4ABE-B3E4-BDA757863663}"/>
    <dataValidation type="list" allowBlank="1" showErrorMessage="1" sqref="G2:G3 G9 G32:G159 J2:J3 J9 J32:J159 M2:M3 M9 M32:M159" xr:uid="{19FEA9AB-966A-4C4C-A1F2-1C91A965BDAD}">
      <formula1>$R$2:$R$5</formula1>
      <formula2>0</formula2>
    </dataValidation>
    <dataValidation type="list" allowBlank="1" showInputMessage="1" showErrorMessage="1" sqref="F11:F31 I11:I31 L11:L31" xr:uid="{845F0DF1-463A-4B60-8637-91F02223617E}">
      <formula1>$R$2:$R$5</formula1>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0AA02-FF24-45E8-86E7-9B056D297D7A}">
  <sheetPr>
    <outlinePr summaryBelow="0" summaryRight="0"/>
  </sheetPr>
  <dimension ref="A1:R42"/>
  <sheetViews>
    <sheetView zoomScale="85" zoomScaleNormal="85" workbookViewId="0">
      <pane ySplit="10" topLeftCell="A11" activePane="bottomLeft" state="frozen"/>
      <selection pane="bottomLeft"/>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14.77734375" style="1" customWidth="1" outlineLevel="1"/>
    <col min="9" max="9" width="9.33203125" style="1" customWidth="1"/>
    <col min="10" max="10" width="10.6640625" style="1" customWidth="1" outlineLevel="1"/>
    <col min="11" max="11" width="14.77734375" style="1" customWidth="1" outlineLevel="1"/>
    <col min="12" max="12" width="9.33203125" style="1" customWidth="1"/>
    <col min="13" max="13" width="10.6640625" style="1" customWidth="1" outlineLevel="1"/>
    <col min="14" max="14" width="14.77734375" style="1" customWidth="1" outlineLevel="1"/>
    <col min="15" max="15" width="28.6640625" style="1" customWidth="1"/>
    <col min="16" max="16" width="10.109375" style="1" customWidth="1"/>
    <col min="17" max="17" width="8.109375" style="23" customWidth="1"/>
    <col min="18" max="18" width="7.6640625" style="1" hidden="1" customWidth="1"/>
    <col min="19" max="16384" width="9" style="1"/>
  </cols>
  <sheetData>
    <row r="1" spans="1:18" ht="13.8" thickBot="1"/>
    <row r="2" spans="1:18" s="25" customFormat="1" ht="15" customHeight="1">
      <c r="A2" s="77" t="s">
        <v>35</v>
      </c>
      <c r="B2" s="105" t="s">
        <v>627</v>
      </c>
      <c r="C2" s="105"/>
      <c r="D2" s="105"/>
      <c r="E2" s="106"/>
      <c r="F2" s="67"/>
      <c r="G2" s="61"/>
      <c r="H2" s="9"/>
      <c r="I2" s="67"/>
      <c r="J2" s="61"/>
      <c r="K2" s="9"/>
      <c r="L2" s="67"/>
      <c r="M2" s="61"/>
      <c r="N2" s="9"/>
      <c r="O2" s="9"/>
      <c r="P2" s="9"/>
      <c r="Q2" s="24"/>
      <c r="R2" s="25" t="s">
        <v>37</v>
      </c>
    </row>
    <row r="3" spans="1:18" s="25" customFormat="1" ht="28.05" customHeight="1">
      <c r="A3" s="78" t="s">
        <v>20</v>
      </c>
      <c r="B3" s="107" t="s">
        <v>628</v>
      </c>
      <c r="C3" s="107"/>
      <c r="D3" s="107"/>
      <c r="E3" s="108"/>
      <c r="F3" s="67"/>
      <c r="G3" s="61"/>
      <c r="H3" s="9"/>
      <c r="I3" s="67"/>
      <c r="J3" s="61"/>
      <c r="K3" s="9"/>
      <c r="L3" s="67"/>
      <c r="M3" s="61"/>
      <c r="N3" s="9"/>
      <c r="O3" s="9"/>
      <c r="P3" s="9"/>
      <c r="Q3" s="24"/>
      <c r="R3" s="25" t="s">
        <v>38</v>
      </c>
    </row>
    <row r="4" spans="1:18" s="25" customFormat="1" ht="18" customHeight="1">
      <c r="A4" s="78" t="s">
        <v>45</v>
      </c>
      <c r="B4" s="107">
        <f>COUNTA(B11:B2023)</f>
        <v>32</v>
      </c>
      <c r="C4" s="107"/>
      <c r="D4" s="107"/>
      <c r="E4" s="108"/>
      <c r="F4" s="67"/>
      <c r="G4" s="61"/>
      <c r="H4" s="9"/>
      <c r="I4" s="67"/>
      <c r="J4" s="61"/>
      <c r="K4" s="9"/>
      <c r="L4" s="67"/>
      <c r="M4" s="61"/>
      <c r="N4" s="9"/>
      <c r="O4" s="9"/>
      <c r="P4" s="9"/>
      <c r="Q4" s="24"/>
      <c r="R4" s="25" t="s">
        <v>36</v>
      </c>
    </row>
    <row r="5" spans="1:18" s="25" customFormat="1" ht="19.5" customHeight="1">
      <c r="A5" s="71" t="s">
        <v>39</v>
      </c>
      <c r="B5" s="69" t="s">
        <v>37</v>
      </c>
      <c r="C5" s="69" t="s">
        <v>38</v>
      </c>
      <c r="D5" s="69" t="s">
        <v>36</v>
      </c>
      <c r="E5" s="72" t="s">
        <v>22</v>
      </c>
      <c r="F5" s="62"/>
      <c r="G5" s="62"/>
      <c r="H5" s="26"/>
      <c r="I5" s="62"/>
      <c r="J5" s="62"/>
      <c r="K5" s="26"/>
      <c r="L5" s="62"/>
      <c r="M5" s="62"/>
      <c r="N5" s="26"/>
      <c r="O5" s="26"/>
      <c r="P5" s="26"/>
      <c r="Q5" s="27"/>
      <c r="R5" s="25" t="s">
        <v>22</v>
      </c>
    </row>
    <row r="6" spans="1:18" s="25" customFormat="1" ht="15" customHeight="1">
      <c r="A6" s="71" t="s">
        <v>40</v>
      </c>
      <c r="B6" s="70">
        <f>COUNTIF($F$11:$F$2023,B$5)</f>
        <v>32</v>
      </c>
      <c r="C6" s="70">
        <f>COUNTIF($F$11:$F$2023,C$5)</f>
        <v>0</v>
      </c>
      <c r="D6" s="70">
        <f>COUNTIF($F$11:$F$2023,D$5)</f>
        <v>0</v>
      </c>
      <c r="E6" s="76">
        <f>COUNTIF($F$11:$F$2023,E$5)</f>
        <v>0</v>
      </c>
      <c r="F6" s="63"/>
      <c r="G6" s="63"/>
      <c r="H6" s="26"/>
      <c r="I6" s="63"/>
      <c r="J6" s="63"/>
      <c r="K6" s="26"/>
      <c r="L6" s="63"/>
      <c r="M6" s="63"/>
      <c r="N6" s="26"/>
      <c r="O6" s="26"/>
      <c r="P6" s="26"/>
      <c r="Q6" s="27"/>
    </row>
    <row r="7" spans="1:18" s="25" customFormat="1" ht="15" customHeight="1">
      <c r="A7" s="71" t="s">
        <v>42</v>
      </c>
      <c r="B7" s="70">
        <f>COUNTIF($I$11:$I$2023,B$5)</f>
        <v>32</v>
      </c>
      <c r="C7" s="70">
        <f>COUNTIF($I$11:$I$2023,C$5)</f>
        <v>0</v>
      </c>
      <c r="D7" s="70">
        <f>COUNTIF($I$11:$I$2023,D$5)</f>
        <v>0</v>
      </c>
      <c r="E7" s="76">
        <f>COUNTIF($I$11:$I$2023,E$5)</f>
        <v>0</v>
      </c>
      <c r="F7" s="63"/>
      <c r="G7" s="63"/>
      <c r="H7" s="26"/>
      <c r="I7" s="63"/>
      <c r="J7" s="63"/>
      <c r="K7" s="26"/>
      <c r="L7" s="63"/>
      <c r="M7" s="63"/>
      <c r="N7" s="26"/>
      <c r="O7" s="26"/>
      <c r="P7" s="26"/>
      <c r="Q7" s="27"/>
    </row>
    <row r="8" spans="1:18" s="25" customFormat="1" ht="15" customHeight="1" thickBot="1">
      <c r="A8" s="73" t="s">
        <v>43</v>
      </c>
      <c r="B8" s="74">
        <f>COUNTIF($L$11:$L$2023,B$5)</f>
        <v>0</v>
      </c>
      <c r="C8" s="74">
        <f>COUNTIF($L$11:$L$2023,C$5)</f>
        <v>0</v>
      </c>
      <c r="D8" s="74">
        <f>COUNTIF($L$11:$L$2023,D$5)</f>
        <v>0</v>
      </c>
      <c r="E8" s="75">
        <f>COUNTIF($L$11:$L$2023,E$5)</f>
        <v>0</v>
      </c>
      <c r="F8" s="63"/>
      <c r="G8" s="63"/>
      <c r="H8" s="26"/>
      <c r="I8" s="63"/>
      <c r="J8" s="63"/>
      <c r="K8" s="26"/>
      <c r="L8" s="63"/>
      <c r="M8" s="63"/>
      <c r="N8" s="26"/>
      <c r="O8" s="26"/>
      <c r="P8" s="26"/>
      <c r="Q8" s="27"/>
    </row>
    <row r="9" spans="1:18" s="25" customFormat="1" ht="15" customHeight="1">
      <c r="A9" s="26"/>
      <c r="B9" s="26"/>
      <c r="C9" s="26"/>
      <c r="D9" s="26"/>
      <c r="E9" s="26"/>
      <c r="F9" s="28"/>
      <c r="G9" s="26"/>
      <c r="H9" s="26"/>
      <c r="I9" s="28"/>
      <c r="J9" s="26"/>
      <c r="K9" s="26"/>
      <c r="L9" s="28"/>
      <c r="M9" s="26"/>
      <c r="N9" s="26"/>
      <c r="O9" s="26"/>
      <c r="P9" s="26"/>
      <c r="Q9" s="27"/>
    </row>
    <row r="10" spans="1:18" s="25" customFormat="1" ht="25.5" customHeight="1">
      <c r="A10" s="68" t="s">
        <v>44</v>
      </c>
      <c r="B10" s="68" t="s">
        <v>23</v>
      </c>
      <c r="C10" s="68" t="s">
        <v>34</v>
      </c>
      <c r="D10" s="68" t="s">
        <v>33</v>
      </c>
      <c r="E10" s="68" t="s">
        <v>41</v>
      </c>
      <c r="F10" s="68" t="s">
        <v>40</v>
      </c>
      <c r="G10" s="68" t="s">
        <v>24</v>
      </c>
      <c r="H10" s="68" t="s">
        <v>21</v>
      </c>
      <c r="I10" s="68" t="s">
        <v>42</v>
      </c>
      <c r="J10" s="68" t="s">
        <v>24</v>
      </c>
      <c r="K10" s="68" t="s">
        <v>21</v>
      </c>
      <c r="L10" s="68" t="s">
        <v>43</v>
      </c>
      <c r="M10" s="68" t="s">
        <v>24</v>
      </c>
      <c r="N10" s="68" t="s">
        <v>21</v>
      </c>
      <c r="O10" s="68" t="s">
        <v>25</v>
      </c>
      <c r="Q10" s="29"/>
    </row>
    <row r="11" spans="1:18" ht="32.4" customHeight="1" outlineLevel="1">
      <c r="A11" s="31" t="s">
        <v>629</v>
      </c>
      <c r="B11" s="31" t="s">
        <v>630</v>
      </c>
      <c r="C11" s="31" t="s">
        <v>631</v>
      </c>
      <c r="D11" s="33" t="s">
        <v>546</v>
      </c>
      <c r="E11" s="33" t="s">
        <v>632</v>
      </c>
      <c r="F11" s="111" t="s">
        <v>37</v>
      </c>
      <c r="G11" s="112" t="s">
        <v>472</v>
      </c>
      <c r="H11" s="111" t="s">
        <v>58</v>
      </c>
      <c r="I11" s="111" t="s">
        <v>37</v>
      </c>
      <c r="J11" s="112" t="s">
        <v>472</v>
      </c>
      <c r="K11" s="111" t="s">
        <v>58</v>
      </c>
      <c r="L11" s="111"/>
      <c r="M11" s="112" t="s">
        <v>51</v>
      </c>
      <c r="N11" s="111"/>
      <c r="O11" s="113" t="s">
        <v>59</v>
      </c>
      <c r="Q11" s="32"/>
    </row>
    <row r="12" spans="1:18" ht="32.4" customHeight="1" outlineLevel="1">
      <c r="A12" s="31" t="s">
        <v>633</v>
      </c>
      <c r="B12" s="31" t="s">
        <v>634</v>
      </c>
      <c r="C12" s="31" t="s">
        <v>635</v>
      </c>
      <c r="D12" s="33" t="s">
        <v>509</v>
      </c>
      <c r="E12" s="33" t="s">
        <v>632</v>
      </c>
      <c r="F12" s="111" t="s">
        <v>37</v>
      </c>
      <c r="G12" s="112" t="s">
        <v>472</v>
      </c>
      <c r="H12" s="111" t="s">
        <v>58</v>
      </c>
      <c r="I12" s="111" t="s">
        <v>37</v>
      </c>
      <c r="J12" s="112" t="s">
        <v>472</v>
      </c>
      <c r="K12" s="111" t="s">
        <v>58</v>
      </c>
      <c r="L12" s="111"/>
      <c r="M12" s="112" t="s">
        <v>51</v>
      </c>
      <c r="N12" s="111"/>
      <c r="O12" s="113" t="s">
        <v>59</v>
      </c>
      <c r="Q12" s="32"/>
    </row>
    <row r="13" spans="1:18" ht="32.4" customHeight="1" outlineLevel="1">
      <c r="A13" s="31" t="s">
        <v>636</v>
      </c>
      <c r="B13" s="31" t="s">
        <v>637</v>
      </c>
      <c r="C13" s="31" t="s">
        <v>631</v>
      </c>
      <c r="D13" s="33" t="s">
        <v>475</v>
      </c>
      <c r="E13" s="33" t="s">
        <v>632</v>
      </c>
      <c r="F13" s="111" t="s">
        <v>37</v>
      </c>
      <c r="G13" s="112" t="s">
        <v>472</v>
      </c>
      <c r="H13" s="111" t="s">
        <v>58</v>
      </c>
      <c r="I13" s="111" t="s">
        <v>37</v>
      </c>
      <c r="J13" s="112" t="s">
        <v>472</v>
      </c>
      <c r="K13" s="111" t="s">
        <v>58</v>
      </c>
      <c r="L13" s="111"/>
      <c r="M13" s="112" t="s">
        <v>51</v>
      </c>
      <c r="N13" s="111"/>
      <c r="O13" s="113" t="s">
        <v>59</v>
      </c>
      <c r="Q13" s="32"/>
    </row>
    <row r="14" spans="1:18" ht="32.4" customHeight="1" outlineLevel="1">
      <c r="A14" s="31" t="s">
        <v>638</v>
      </c>
      <c r="B14" s="31" t="s">
        <v>639</v>
      </c>
      <c r="C14" s="31" t="s">
        <v>631</v>
      </c>
      <c r="D14" s="33" t="s">
        <v>475</v>
      </c>
      <c r="E14" s="33" t="s">
        <v>632</v>
      </c>
      <c r="F14" s="111" t="s">
        <v>37</v>
      </c>
      <c r="G14" s="112" t="s">
        <v>472</v>
      </c>
      <c r="H14" s="111" t="s">
        <v>58</v>
      </c>
      <c r="I14" s="111" t="s">
        <v>37</v>
      </c>
      <c r="J14" s="112" t="s">
        <v>472</v>
      </c>
      <c r="K14" s="111" t="s">
        <v>58</v>
      </c>
      <c r="L14" s="111"/>
      <c r="M14" s="112" t="s">
        <v>51</v>
      </c>
      <c r="N14" s="111"/>
      <c r="O14" s="113" t="s">
        <v>59</v>
      </c>
      <c r="Q14" s="32"/>
    </row>
    <row r="15" spans="1:18" ht="32.4" customHeight="1" outlineLevel="1">
      <c r="A15" s="31" t="s">
        <v>640</v>
      </c>
      <c r="B15" s="31" t="s">
        <v>641</v>
      </c>
      <c r="C15" s="31" t="s">
        <v>642</v>
      </c>
      <c r="D15" s="33" t="s">
        <v>528</v>
      </c>
      <c r="E15" s="33" t="s">
        <v>643</v>
      </c>
      <c r="F15" s="111" t="s">
        <v>37</v>
      </c>
      <c r="G15" s="112" t="s">
        <v>472</v>
      </c>
      <c r="H15" s="111" t="s">
        <v>58</v>
      </c>
      <c r="I15" s="111" t="s">
        <v>37</v>
      </c>
      <c r="J15" s="112" t="s">
        <v>472</v>
      </c>
      <c r="K15" s="111" t="s">
        <v>58</v>
      </c>
      <c r="L15" s="111"/>
      <c r="M15" s="112" t="s">
        <v>51</v>
      </c>
      <c r="N15" s="111"/>
      <c r="O15" s="113" t="s">
        <v>59</v>
      </c>
      <c r="Q15" s="32"/>
    </row>
    <row r="16" spans="1:18" ht="32.4" customHeight="1" outlineLevel="1">
      <c r="A16" s="31" t="s">
        <v>644</v>
      </c>
      <c r="B16" s="31" t="s">
        <v>645</v>
      </c>
      <c r="C16" s="31" t="s">
        <v>646</v>
      </c>
      <c r="D16" s="33" t="s">
        <v>647</v>
      </c>
      <c r="E16" s="33" t="s">
        <v>643</v>
      </c>
      <c r="F16" s="111" t="s">
        <v>37</v>
      </c>
      <c r="G16" s="112" t="s">
        <v>472</v>
      </c>
      <c r="H16" s="111" t="s">
        <v>58</v>
      </c>
      <c r="I16" s="111" t="s">
        <v>37</v>
      </c>
      <c r="J16" s="112" t="s">
        <v>472</v>
      </c>
      <c r="K16" s="111" t="s">
        <v>58</v>
      </c>
      <c r="L16" s="111"/>
      <c r="M16" s="112" t="s">
        <v>51</v>
      </c>
      <c r="N16" s="111"/>
      <c r="O16" s="113" t="s">
        <v>59</v>
      </c>
      <c r="Q16" s="32"/>
    </row>
    <row r="17" spans="1:17" ht="32.4" customHeight="1" outlineLevel="1">
      <c r="A17" s="31" t="s">
        <v>648</v>
      </c>
      <c r="B17" s="31" t="s">
        <v>649</v>
      </c>
      <c r="C17" s="31" t="s">
        <v>646</v>
      </c>
      <c r="D17" s="33" t="s">
        <v>479</v>
      </c>
      <c r="E17" s="33" t="s">
        <v>643</v>
      </c>
      <c r="F17" s="111" t="s">
        <v>37</v>
      </c>
      <c r="G17" s="112" t="s">
        <v>472</v>
      </c>
      <c r="H17" s="111" t="s">
        <v>58</v>
      </c>
      <c r="I17" s="111" t="s">
        <v>37</v>
      </c>
      <c r="J17" s="112" t="s">
        <v>472</v>
      </c>
      <c r="K17" s="111" t="s">
        <v>58</v>
      </c>
      <c r="L17" s="111"/>
      <c r="M17" s="112" t="s">
        <v>51</v>
      </c>
      <c r="N17" s="111"/>
      <c r="O17" s="113" t="s">
        <v>59</v>
      </c>
      <c r="Q17" s="32"/>
    </row>
    <row r="18" spans="1:17" ht="32.4" customHeight="1" outlineLevel="1">
      <c r="A18" s="31" t="s">
        <v>650</v>
      </c>
      <c r="B18" s="31" t="s">
        <v>651</v>
      </c>
      <c r="C18" s="31" t="s">
        <v>646</v>
      </c>
      <c r="D18" s="33" t="s">
        <v>489</v>
      </c>
      <c r="E18" s="33" t="s">
        <v>632</v>
      </c>
      <c r="F18" s="111" t="s">
        <v>37</v>
      </c>
      <c r="G18" s="112" t="s">
        <v>472</v>
      </c>
      <c r="H18" s="111" t="s">
        <v>58</v>
      </c>
      <c r="I18" s="111" t="s">
        <v>37</v>
      </c>
      <c r="J18" s="112" t="s">
        <v>472</v>
      </c>
      <c r="K18" s="111" t="s">
        <v>58</v>
      </c>
      <c r="L18" s="111"/>
      <c r="M18" s="112" t="s">
        <v>51</v>
      </c>
      <c r="N18" s="111"/>
      <c r="O18" s="113" t="s">
        <v>59</v>
      </c>
      <c r="Q18" s="32"/>
    </row>
    <row r="19" spans="1:17" ht="32.4" customHeight="1" outlineLevel="1">
      <c r="A19" s="31" t="s">
        <v>652</v>
      </c>
      <c r="B19" s="31" t="s">
        <v>653</v>
      </c>
      <c r="C19" s="31" t="s">
        <v>654</v>
      </c>
      <c r="D19" s="33" t="s">
        <v>509</v>
      </c>
      <c r="E19" s="33" t="s">
        <v>643</v>
      </c>
      <c r="F19" s="111" t="s">
        <v>37</v>
      </c>
      <c r="G19" s="112" t="s">
        <v>472</v>
      </c>
      <c r="H19" s="111" t="s">
        <v>58</v>
      </c>
      <c r="I19" s="111" t="s">
        <v>37</v>
      </c>
      <c r="J19" s="112" t="s">
        <v>472</v>
      </c>
      <c r="K19" s="111" t="s">
        <v>58</v>
      </c>
      <c r="L19" s="111"/>
      <c r="M19" s="112" t="s">
        <v>51</v>
      </c>
      <c r="N19" s="111"/>
      <c r="O19" s="113" t="s">
        <v>59</v>
      </c>
      <c r="Q19" s="32"/>
    </row>
    <row r="20" spans="1:17" ht="32.4" customHeight="1" outlineLevel="1">
      <c r="A20" s="31" t="s">
        <v>655</v>
      </c>
      <c r="B20" s="31" t="s">
        <v>656</v>
      </c>
      <c r="C20" s="31" t="s">
        <v>654</v>
      </c>
      <c r="D20" s="33" t="s">
        <v>509</v>
      </c>
      <c r="E20" s="33" t="s">
        <v>643</v>
      </c>
      <c r="F20" s="111" t="s">
        <v>37</v>
      </c>
      <c r="G20" s="112" t="s">
        <v>472</v>
      </c>
      <c r="H20" s="111" t="s">
        <v>58</v>
      </c>
      <c r="I20" s="111" t="s">
        <v>37</v>
      </c>
      <c r="J20" s="112" t="s">
        <v>472</v>
      </c>
      <c r="K20" s="111" t="s">
        <v>58</v>
      </c>
      <c r="L20" s="111"/>
      <c r="M20" s="112" t="s">
        <v>51</v>
      </c>
      <c r="N20" s="111"/>
      <c r="O20" s="113" t="s">
        <v>59</v>
      </c>
      <c r="Q20" s="32"/>
    </row>
    <row r="21" spans="1:17" ht="32.4" customHeight="1" outlineLevel="1">
      <c r="A21" s="31" t="s">
        <v>657</v>
      </c>
      <c r="B21" s="31" t="s">
        <v>658</v>
      </c>
      <c r="C21" s="31" t="s">
        <v>654</v>
      </c>
      <c r="D21" s="33" t="s">
        <v>475</v>
      </c>
      <c r="E21" s="33" t="s">
        <v>643</v>
      </c>
      <c r="F21" s="111" t="s">
        <v>37</v>
      </c>
      <c r="G21" s="112" t="s">
        <v>472</v>
      </c>
      <c r="H21" s="111" t="s">
        <v>58</v>
      </c>
      <c r="I21" s="111" t="s">
        <v>37</v>
      </c>
      <c r="J21" s="112" t="s">
        <v>472</v>
      </c>
      <c r="K21" s="111" t="s">
        <v>58</v>
      </c>
      <c r="L21" s="111"/>
      <c r="M21" s="112" t="s">
        <v>51</v>
      </c>
      <c r="N21" s="111"/>
      <c r="O21" s="113" t="s">
        <v>59</v>
      </c>
      <c r="Q21" s="32"/>
    </row>
    <row r="22" spans="1:17" ht="32.4" customHeight="1" outlineLevel="1">
      <c r="A22" s="31" t="s">
        <v>659</v>
      </c>
      <c r="B22" s="31" t="s">
        <v>660</v>
      </c>
      <c r="C22" s="31" t="s">
        <v>661</v>
      </c>
      <c r="D22" s="33" t="s">
        <v>489</v>
      </c>
      <c r="E22" s="33" t="s">
        <v>643</v>
      </c>
      <c r="F22" s="111" t="s">
        <v>37</v>
      </c>
      <c r="G22" s="112" t="s">
        <v>472</v>
      </c>
      <c r="H22" s="111" t="s">
        <v>58</v>
      </c>
      <c r="I22" s="111" t="s">
        <v>37</v>
      </c>
      <c r="J22" s="112" t="s">
        <v>472</v>
      </c>
      <c r="K22" s="111" t="s">
        <v>58</v>
      </c>
      <c r="L22" s="111"/>
      <c r="M22" s="112" t="s">
        <v>51</v>
      </c>
      <c r="N22" s="111"/>
      <c r="O22" s="113" t="s">
        <v>59</v>
      </c>
      <c r="Q22" s="32"/>
    </row>
    <row r="23" spans="1:17" ht="32.4" customHeight="1" outlineLevel="1">
      <c r="A23" s="31" t="s">
        <v>662</v>
      </c>
      <c r="B23" s="31" t="s">
        <v>663</v>
      </c>
      <c r="C23" s="31" t="s">
        <v>664</v>
      </c>
      <c r="D23" s="33" t="s">
        <v>509</v>
      </c>
      <c r="E23" s="33" t="s">
        <v>643</v>
      </c>
      <c r="F23" s="111" t="s">
        <v>37</v>
      </c>
      <c r="G23" s="112" t="s">
        <v>472</v>
      </c>
      <c r="H23" s="111" t="s">
        <v>58</v>
      </c>
      <c r="I23" s="111" t="s">
        <v>37</v>
      </c>
      <c r="J23" s="112" t="s">
        <v>472</v>
      </c>
      <c r="K23" s="111" t="s">
        <v>58</v>
      </c>
      <c r="L23" s="111"/>
      <c r="M23" s="112" t="s">
        <v>51</v>
      </c>
      <c r="N23" s="111"/>
      <c r="O23" s="113" t="s">
        <v>59</v>
      </c>
      <c r="Q23" s="32"/>
    </row>
    <row r="24" spans="1:17" ht="32.4" customHeight="1" outlineLevel="1">
      <c r="A24" s="31" t="s">
        <v>665</v>
      </c>
      <c r="B24" s="31" t="s">
        <v>666</v>
      </c>
      <c r="C24" s="31" t="s">
        <v>664</v>
      </c>
      <c r="D24" s="33" t="s">
        <v>598</v>
      </c>
      <c r="E24" s="33" t="s">
        <v>643</v>
      </c>
      <c r="F24" s="111" t="s">
        <v>37</v>
      </c>
      <c r="G24" s="112" t="s">
        <v>472</v>
      </c>
      <c r="H24" s="111" t="s">
        <v>58</v>
      </c>
      <c r="I24" s="111" t="s">
        <v>37</v>
      </c>
      <c r="J24" s="112" t="s">
        <v>472</v>
      </c>
      <c r="K24" s="111" t="s">
        <v>58</v>
      </c>
      <c r="L24" s="111"/>
      <c r="M24" s="112" t="s">
        <v>51</v>
      </c>
      <c r="N24" s="111"/>
      <c r="O24" s="113" t="s">
        <v>59</v>
      </c>
      <c r="Q24" s="32"/>
    </row>
    <row r="25" spans="1:17" ht="45.6" customHeight="1" outlineLevel="1">
      <c r="A25" s="31" t="s">
        <v>667</v>
      </c>
      <c r="B25" s="31" t="s">
        <v>668</v>
      </c>
      <c r="C25" s="31" t="s">
        <v>669</v>
      </c>
      <c r="D25" s="33" t="s">
        <v>475</v>
      </c>
      <c r="E25" s="33" t="s">
        <v>643</v>
      </c>
      <c r="F25" s="111" t="s">
        <v>37</v>
      </c>
      <c r="G25" s="112" t="s">
        <v>472</v>
      </c>
      <c r="H25" s="111" t="s">
        <v>58</v>
      </c>
      <c r="I25" s="111" t="s">
        <v>37</v>
      </c>
      <c r="J25" s="112" t="s">
        <v>472</v>
      </c>
      <c r="K25" s="111" t="s">
        <v>58</v>
      </c>
      <c r="L25" s="111"/>
      <c r="M25" s="112" t="s">
        <v>51</v>
      </c>
      <c r="N25" s="111"/>
      <c r="O25" s="113" t="s">
        <v>59</v>
      </c>
      <c r="Q25" s="32"/>
    </row>
    <row r="26" spans="1:17" ht="45.6" customHeight="1" outlineLevel="1">
      <c r="A26" s="31" t="s">
        <v>670</v>
      </c>
      <c r="B26" s="31" t="s">
        <v>671</v>
      </c>
      <c r="C26" s="31" t="s">
        <v>669</v>
      </c>
      <c r="D26" s="33" t="s">
        <v>500</v>
      </c>
      <c r="E26" s="33" t="s">
        <v>643</v>
      </c>
      <c r="F26" s="111" t="s">
        <v>37</v>
      </c>
      <c r="G26" s="112" t="s">
        <v>472</v>
      </c>
      <c r="H26" s="111" t="s">
        <v>58</v>
      </c>
      <c r="I26" s="111" t="s">
        <v>37</v>
      </c>
      <c r="J26" s="112" t="s">
        <v>472</v>
      </c>
      <c r="K26" s="111" t="s">
        <v>58</v>
      </c>
      <c r="L26" s="111"/>
      <c r="M26" s="112" t="s">
        <v>51</v>
      </c>
      <c r="N26" s="111"/>
      <c r="O26" s="113" t="s">
        <v>59</v>
      </c>
      <c r="Q26" s="32"/>
    </row>
    <row r="27" spans="1:17" ht="32.4" customHeight="1" outlineLevel="1">
      <c r="A27" s="31" t="s">
        <v>672</v>
      </c>
      <c r="B27" s="31" t="s">
        <v>673</v>
      </c>
      <c r="C27" s="31" t="s">
        <v>674</v>
      </c>
      <c r="D27" s="33" t="s">
        <v>675</v>
      </c>
      <c r="E27" s="33" t="s">
        <v>643</v>
      </c>
      <c r="F27" s="111" t="s">
        <v>37</v>
      </c>
      <c r="G27" s="112" t="s">
        <v>472</v>
      </c>
      <c r="H27" s="111" t="s">
        <v>58</v>
      </c>
      <c r="I27" s="111" t="s">
        <v>37</v>
      </c>
      <c r="J27" s="112" t="s">
        <v>472</v>
      </c>
      <c r="K27" s="111" t="s">
        <v>58</v>
      </c>
      <c r="L27" s="111"/>
      <c r="M27" s="112" t="s">
        <v>51</v>
      </c>
      <c r="N27" s="111"/>
      <c r="O27" s="113" t="s">
        <v>59</v>
      </c>
      <c r="Q27" s="32"/>
    </row>
    <row r="28" spans="1:17" ht="32.4" customHeight="1" outlineLevel="1">
      <c r="A28" s="31" t="s">
        <v>676</v>
      </c>
      <c r="B28" s="31" t="s">
        <v>677</v>
      </c>
      <c r="C28" s="31" t="s">
        <v>674</v>
      </c>
      <c r="D28" s="33" t="s">
        <v>475</v>
      </c>
      <c r="E28" s="33" t="s">
        <v>643</v>
      </c>
      <c r="F28" s="111" t="s">
        <v>37</v>
      </c>
      <c r="G28" s="112" t="s">
        <v>472</v>
      </c>
      <c r="H28" s="111" t="s">
        <v>58</v>
      </c>
      <c r="I28" s="111" t="s">
        <v>37</v>
      </c>
      <c r="J28" s="112" t="s">
        <v>472</v>
      </c>
      <c r="K28" s="111" t="s">
        <v>58</v>
      </c>
      <c r="L28" s="111"/>
      <c r="M28" s="112" t="s">
        <v>51</v>
      </c>
      <c r="N28" s="111"/>
      <c r="O28" s="113" t="s">
        <v>59</v>
      </c>
      <c r="Q28" s="32"/>
    </row>
    <row r="29" spans="1:17" ht="32.4" customHeight="1" outlineLevel="1">
      <c r="A29" s="31" t="s">
        <v>678</v>
      </c>
      <c r="B29" s="31" t="s">
        <v>679</v>
      </c>
      <c r="C29" s="31" t="s">
        <v>674</v>
      </c>
      <c r="D29" s="33" t="s">
        <v>598</v>
      </c>
      <c r="E29" s="33" t="s">
        <v>643</v>
      </c>
      <c r="F29" s="111" t="s">
        <v>37</v>
      </c>
      <c r="G29" s="112" t="s">
        <v>472</v>
      </c>
      <c r="H29" s="111" t="s">
        <v>58</v>
      </c>
      <c r="I29" s="111" t="s">
        <v>37</v>
      </c>
      <c r="J29" s="112" t="s">
        <v>472</v>
      </c>
      <c r="K29" s="111" t="s">
        <v>58</v>
      </c>
      <c r="L29" s="111"/>
      <c r="M29" s="112" t="s">
        <v>51</v>
      </c>
      <c r="N29" s="111"/>
      <c r="O29" s="113" t="s">
        <v>59</v>
      </c>
      <c r="Q29" s="32"/>
    </row>
    <row r="30" spans="1:17" ht="32.4" customHeight="1" outlineLevel="1">
      <c r="A30" s="31" t="s">
        <v>680</v>
      </c>
      <c r="B30" s="31" t="s">
        <v>681</v>
      </c>
      <c r="C30" s="31" t="s">
        <v>674</v>
      </c>
      <c r="D30" s="33" t="s">
        <v>475</v>
      </c>
      <c r="E30" s="33" t="s">
        <v>643</v>
      </c>
      <c r="F30" s="111" t="s">
        <v>37</v>
      </c>
      <c r="G30" s="112" t="s">
        <v>472</v>
      </c>
      <c r="H30" s="111" t="s">
        <v>58</v>
      </c>
      <c r="I30" s="111" t="s">
        <v>37</v>
      </c>
      <c r="J30" s="112" t="s">
        <v>472</v>
      </c>
      <c r="K30" s="111" t="s">
        <v>58</v>
      </c>
      <c r="L30" s="111"/>
      <c r="M30" s="112" t="s">
        <v>51</v>
      </c>
      <c r="N30" s="111"/>
      <c r="O30" s="113" t="s">
        <v>59</v>
      </c>
      <c r="Q30" s="32"/>
    </row>
    <row r="31" spans="1:17" ht="45.6" customHeight="1" outlineLevel="1">
      <c r="A31" s="31" t="s">
        <v>682</v>
      </c>
      <c r="B31" s="31" t="s">
        <v>683</v>
      </c>
      <c r="C31" s="31" t="s">
        <v>684</v>
      </c>
      <c r="D31" s="33" t="s">
        <v>528</v>
      </c>
      <c r="E31" s="33" t="s">
        <v>685</v>
      </c>
      <c r="F31" s="111" t="s">
        <v>37</v>
      </c>
      <c r="G31" s="112" t="s">
        <v>472</v>
      </c>
      <c r="H31" s="111" t="s">
        <v>58</v>
      </c>
      <c r="I31" s="111" t="s">
        <v>37</v>
      </c>
      <c r="J31" s="112" t="s">
        <v>472</v>
      </c>
      <c r="K31" s="111" t="s">
        <v>58</v>
      </c>
      <c r="L31" s="111"/>
      <c r="M31" s="112" t="s">
        <v>51</v>
      </c>
      <c r="N31" s="111"/>
      <c r="O31" s="113" t="s">
        <v>59</v>
      </c>
      <c r="Q31" s="32"/>
    </row>
    <row r="32" spans="1:17" ht="45.6" customHeight="1" outlineLevel="1">
      <c r="A32" s="31" t="s">
        <v>686</v>
      </c>
      <c r="B32" s="31" t="s">
        <v>687</v>
      </c>
      <c r="C32" s="31" t="s">
        <v>688</v>
      </c>
      <c r="D32" s="33" t="s">
        <v>689</v>
      </c>
      <c r="E32" s="33" t="s">
        <v>685</v>
      </c>
      <c r="F32" s="111" t="s">
        <v>37</v>
      </c>
      <c r="G32" s="112" t="s">
        <v>472</v>
      </c>
      <c r="H32" s="111" t="s">
        <v>58</v>
      </c>
      <c r="I32" s="111" t="s">
        <v>37</v>
      </c>
      <c r="J32" s="112" t="s">
        <v>472</v>
      </c>
      <c r="K32" s="111" t="s">
        <v>58</v>
      </c>
      <c r="L32" s="111"/>
      <c r="M32" s="112" t="s">
        <v>51</v>
      </c>
      <c r="N32" s="111"/>
      <c r="O32" s="113" t="s">
        <v>59</v>
      </c>
      <c r="Q32" s="32"/>
    </row>
    <row r="33" spans="1:17" ht="45.6" customHeight="1" outlineLevel="1">
      <c r="A33" s="31" t="s">
        <v>690</v>
      </c>
      <c r="B33" s="31" t="s">
        <v>691</v>
      </c>
      <c r="C33" s="31" t="s">
        <v>688</v>
      </c>
      <c r="D33" s="33" t="s">
        <v>598</v>
      </c>
      <c r="E33" s="33" t="s">
        <v>685</v>
      </c>
      <c r="F33" s="111" t="s">
        <v>37</v>
      </c>
      <c r="G33" s="112" t="s">
        <v>472</v>
      </c>
      <c r="H33" s="111" t="s">
        <v>58</v>
      </c>
      <c r="I33" s="111" t="s">
        <v>37</v>
      </c>
      <c r="J33" s="112" t="s">
        <v>472</v>
      </c>
      <c r="K33" s="111" t="s">
        <v>58</v>
      </c>
      <c r="L33" s="111"/>
      <c r="M33" s="112" t="s">
        <v>51</v>
      </c>
      <c r="N33" s="111"/>
      <c r="O33" s="113" t="s">
        <v>59</v>
      </c>
      <c r="Q33" s="32"/>
    </row>
    <row r="34" spans="1:17" ht="45.6" customHeight="1" outlineLevel="1">
      <c r="A34" s="31" t="s">
        <v>692</v>
      </c>
      <c r="B34" s="31" t="s">
        <v>693</v>
      </c>
      <c r="C34" s="31" t="s">
        <v>694</v>
      </c>
      <c r="D34" s="33" t="s">
        <v>500</v>
      </c>
      <c r="E34" s="33" t="s">
        <v>685</v>
      </c>
      <c r="F34" s="111" t="s">
        <v>37</v>
      </c>
      <c r="G34" s="112" t="s">
        <v>472</v>
      </c>
      <c r="H34" s="111" t="s">
        <v>58</v>
      </c>
      <c r="I34" s="111" t="s">
        <v>37</v>
      </c>
      <c r="J34" s="112" t="s">
        <v>472</v>
      </c>
      <c r="K34" s="111" t="s">
        <v>58</v>
      </c>
      <c r="L34" s="111"/>
      <c r="M34" s="112" t="s">
        <v>51</v>
      </c>
      <c r="N34" s="111"/>
      <c r="O34" s="113" t="s">
        <v>59</v>
      </c>
      <c r="Q34" s="32"/>
    </row>
    <row r="35" spans="1:17" ht="45.6" customHeight="1" outlineLevel="1">
      <c r="A35" s="31" t="s">
        <v>695</v>
      </c>
      <c r="B35" s="31" t="s">
        <v>696</v>
      </c>
      <c r="C35" s="31" t="s">
        <v>688</v>
      </c>
      <c r="D35" s="33" t="s">
        <v>489</v>
      </c>
      <c r="E35" s="33" t="s">
        <v>685</v>
      </c>
      <c r="F35" s="111" t="s">
        <v>37</v>
      </c>
      <c r="G35" s="112" t="s">
        <v>472</v>
      </c>
      <c r="H35" s="111" t="s">
        <v>58</v>
      </c>
      <c r="I35" s="111" t="s">
        <v>37</v>
      </c>
      <c r="J35" s="112" t="s">
        <v>472</v>
      </c>
      <c r="K35" s="111" t="s">
        <v>58</v>
      </c>
      <c r="L35" s="111"/>
      <c r="M35" s="112" t="s">
        <v>51</v>
      </c>
      <c r="N35" s="111"/>
      <c r="O35" s="113" t="s">
        <v>59</v>
      </c>
      <c r="Q35" s="32"/>
    </row>
    <row r="36" spans="1:17" ht="45.6" customHeight="1" outlineLevel="1">
      <c r="A36" s="31" t="s">
        <v>697</v>
      </c>
      <c r="B36" s="31" t="s">
        <v>698</v>
      </c>
      <c r="C36" s="31" t="s">
        <v>699</v>
      </c>
      <c r="D36" s="33" t="s">
        <v>500</v>
      </c>
      <c r="E36" s="33" t="s">
        <v>685</v>
      </c>
      <c r="F36" s="111" t="s">
        <v>37</v>
      </c>
      <c r="G36" s="112" t="s">
        <v>472</v>
      </c>
      <c r="H36" s="111" t="s">
        <v>58</v>
      </c>
      <c r="I36" s="111" t="s">
        <v>37</v>
      </c>
      <c r="J36" s="112" t="s">
        <v>472</v>
      </c>
      <c r="K36" s="111" t="s">
        <v>58</v>
      </c>
      <c r="L36" s="111"/>
      <c r="M36" s="112" t="s">
        <v>51</v>
      </c>
      <c r="N36" s="111"/>
      <c r="O36" s="113" t="s">
        <v>59</v>
      </c>
      <c r="Q36" s="32"/>
    </row>
    <row r="37" spans="1:17" ht="45.6" customHeight="1" outlineLevel="1">
      <c r="A37" s="31" t="s">
        <v>700</v>
      </c>
      <c r="B37" s="31" t="s">
        <v>701</v>
      </c>
      <c r="C37" s="31" t="s">
        <v>699</v>
      </c>
      <c r="D37" s="33" t="s">
        <v>489</v>
      </c>
      <c r="E37" s="33" t="s">
        <v>685</v>
      </c>
      <c r="F37" s="111" t="s">
        <v>37</v>
      </c>
      <c r="G37" s="112" t="s">
        <v>472</v>
      </c>
      <c r="H37" s="111" t="s">
        <v>58</v>
      </c>
      <c r="I37" s="111" t="s">
        <v>37</v>
      </c>
      <c r="J37" s="112" t="s">
        <v>472</v>
      </c>
      <c r="K37" s="111" t="s">
        <v>58</v>
      </c>
      <c r="L37" s="111"/>
      <c r="M37" s="112" t="s">
        <v>51</v>
      </c>
      <c r="N37" s="111"/>
      <c r="O37" s="113" t="s">
        <v>59</v>
      </c>
      <c r="Q37" s="32"/>
    </row>
    <row r="38" spans="1:17" ht="45.6" customHeight="1" outlineLevel="1">
      <c r="A38" s="31" t="s">
        <v>702</v>
      </c>
      <c r="B38" s="31" t="s">
        <v>703</v>
      </c>
      <c r="C38" s="31" t="s">
        <v>688</v>
      </c>
      <c r="D38" s="33" t="s">
        <v>500</v>
      </c>
      <c r="E38" s="33" t="s">
        <v>685</v>
      </c>
      <c r="F38" s="111" t="s">
        <v>37</v>
      </c>
      <c r="G38" s="112" t="s">
        <v>472</v>
      </c>
      <c r="H38" s="111" t="s">
        <v>58</v>
      </c>
      <c r="I38" s="111" t="s">
        <v>37</v>
      </c>
      <c r="J38" s="112" t="s">
        <v>472</v>
      </c>
      <c r="K38" s="111" t="s">
        <v>58</v>
      </c>
      <c r="L38" s="111"/>
      <c r="M38" s="112" t="s">
        <v>51</v>
      </c>
      <c r="N38" s="111"/>
      <c r="O38" s="113" t="s">
        <v>59</v>
      </c>
      <c r="Q38" s="32"/>
    </row>
    <row r="39" spans="1:17" ht="32.4" customHeight="1" outlineLevel="1">
      <c r="A39" s="31" t="s">
        <v>704</v>
      </c>
      <c r="B39" s="31" t="s">
        <v>705</v>
      </c>
      <c r="C39" s="31" t="s">
        <v>706</v>
      </c>
      <c r="D39" s="33" t="s">
        <v>707</v>
      </c>
      <c r="E39" s="33" t="s">
        <v>643</v>
      </c>
      <c r="F39" s="111" t="s">
        <v>37</v>
      </c>
      <c r="G39" s="112" t="s">
        <v>472</v>
      </c>
      <c r="H39" s="111" t="s">
        <v>58</v>
      </c>
      <c r="I39" s="111" t="s">
        <v>37</v>
      </c>
      <c r="J39" s="112" t="s">
        <v>472</v>
      </c>
      <c r="K39" s="111" t="s">
        <v>58</v>
      </c>
      <c r="L39" s="111"/>
      <c r="M39" s="112" t="s">
        <v>51</v>
      </c>
      <c r="N39" s="111"/>
      <c r="O39" s="113" t="s">
        <v>59</v>
      </c>
      <c r="Q39" s="32"/>
    </row>
    <row r="40" spans="1:17" ht="45.6" customHeight="1" outlineLevel="1">
      <c r="A40" s="31" t="s">
        <v>708</v>
      </c>
      <c r="B40" s="31" t="s">
        <v>709</v>
      </c>
      <c r="C40" s="31" t="s">
        <v>710</v>
      </c>
      <c r="D40" s="33" t="s">
        <v>500</v>
      </c>
      <c r="E40" s="33" t="s">
        <v>711</v>
      </c>
      <c r="F40" s="111" t="s">
        <v>37</v>
      </c>
      <c r="G40" s="112" t="s">
        <v>472</v>
      </c>
      <c r="H40" s="111" t="s">
        <v>58</v>
      </c>
      <c r="I40" s="111" t="s">
        <v>37</v>
      </c>
      <c r="J40" s="112" t="s">
        <v>472</v>
      </c>
      <c r="K40" s="111" t="s">
        <v>58</v>
      </c>
      <c r="L40" s="111"/>
      <c r="M40" s="112" t="s">
        <v>51</v>
      </c>
      <c r="N40" s="111"/>
      <c r="O40" s="113" t="s">
        <v>59</v>
      </c>
      <c r="Q40" s="32"/>
    </row>
    <row r="41" spans="1:17" ht="32.4" customHeight="1" outlineLevel="1">
      <c r="A41" s="31" t="s">
        <v>712</v>
      </c>
      <c r="B41" s="31" t="s">
        <v>713</v>
      </c>
      <c r="C41" s="31" t="s">
        <v>706</v>
      </c>
      <c r="D41" s="33" t="s">
        <v>479</v>
      </c>
      <c r="E41" s="33" t="s">
        <v>643</v>
      </c>
      <c r="F41" s="111" t="s">
        <v>37</v>
      </c>
      <c r="G41" s="112" t="s">
        <v>472</v>
      </c>
      <c r="H41" s="111" t="s">
        <v>58</v>
      </c>
      <c r="I41" s="111" t="s">
        <v>37</v>
      </c>
      <c r="J41" s="112" t="s">
        <v>472</v>
      </c>
      <c r="K41" s="111" t="s">
        <v>58</v>
      </c>
      <c r="L41" s="111"/>
      <c r="M41" s="112" t="s">
        <v>51</v>
      </c>
      <c r="N41" s="111"/>
      <c r="O41" s="113" t="s">
        <v>59</v>
      </c>
      <c r="Q41" s="32"/>
    </row>
    <row r="42" spans="1:17" ht="32.4" customHeight="1" outlineLevel="1">
      <c r="A42" s="31" t="s">
        <v>714</v>
      </c>
      <c r="B42" s="31" t="s">
        <v>715</v>
      </c>
      <c r="C42" s="31" t="s">
        <v>674</v>
      </c>
      <c r="D42" s="33" t="s">
        <v>479</v>
      </c>
      <c r="E42" s="33" t="s">
        <v>685</v>
      </c>
      <c r="F42" s="111" t="s">
        <v>37</v>
      </c>
      <c r="G42" s="112" t="s">
        <v>472</v>
      </c>
      <c r="H42" s="111" t="s">
        <v>58</v>
      </c>
      <c r="I42" s="111" t="s">
        <v>37</v>
      </c>
      <c r="J42" s="112" t="s">
        <v>472</v>
      </c>
      <c r="K42" s="111" t="s">
        <v>58</v>
      </c>
      <c r="L42" s="111"/>
      <c r="M42" s="112" t="s">
        <v>51</v>
      </c>
      <c r="N42" s="111"/>
      <c r="O42" s="113" t="s">
        <v>59</v>
      </c>
      <c r="Q42" s="32"/>
    </row>
  </sheetData>
  <mergeCells count="3">
    <mergeCell ref="B2:E2"/>
    <mergeCell ref="B3:E3"/>
    <mergeCell ref="B4:E4"/>
  </mergeCells>
  <dataValidations count="3">
    <dataValidation allowBlank="1" showErrorMessage="1" sqref="F10 I10 L10" xr:uid="{DECE8037-2671-4D6A-9D36-C8B5A87B587C}"/>
    <dataValidation type="list" allowBlank="1" showErrorMessage="1" sqref="G2:G3 G9 G43:G170 J2:J3 J9 J43:J170 M2:M3 M9 M43:M170" xr:uid="{7122B499-F60F-4A2C-A34D-72E5AFB1312F}">
      <formula1>$R$2:$R$5</formula1>
      <formula2>0</formula2>
    </dataValidation>
    <dataValidation type="list" allowBlank="1" showInputMessage="1" showErrorMessage="1" sqref="F11:F42 I11:I42 L11:L42" xr:uid="{A9426659-5842-42EA-ADCB-A5D97E5051C4}">
      <formula1>$R$2:$R$5</formula1>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62BAB-10CA-4BE2-AD46-715DBC713BBF}">
  <sheetPr>
    <outlinePr summaryBelow="0" summaryRight="0"/>
  </sheetPr>
  <dimension ref="A1:R37"/>
  <sheetViews>
    <sheetView zoomScale="85" zoomScaleNormal="85" workbookViewId="0">
      <pane ySplit="10" topLeftCell="A11" activePane="bottomLeft" state="frozen"/>
      <selection pane="bottomLeft"/>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14.77734375" style="1" customWidth="1" outlineLevel="1"/>
    <col min="9" max="9" width="9.33203125" style="1" customWidth="1"/>
    <col min="10" max="10" width="10.6640625" style="1" customWidth="1" outlineLevel="1"/>
    <col min="11" max="11" width="14.77734375" style="1" customWidth="1" outlineLevel="1"/>
    <col min="12" max="12" width="9.33203125" style="1" customWidth="1"/>
    <col min="13" max="13" width="10.6640625" style="1" customWidth="1" outlineLevel="1"/>
    <col min="14" max="14" width="14.77734375" style="1" customWidth="1" outlineLevel="1"/>
    <col min="15" max="15" width="28.6640625" style="1" customWidth="1"/>
    <col min="16" max="16" width="10.109375" style="1" customWidth="1"/>
    <col min="17" max="17" width="8.109375" style="23" customWidth="1"/>
    <col min="18" max="18" width="7.6640625" style="1" hidden="1" customWidth="1"/>
    <col min="19" max="16384" width="9" style="1"/>
  </cols>
  <sheetData>
    <row r="1" spans="1:18" ht="13.8" thickBot="1"/>
    <row r="2" spans="1:18" s="25" customFormat="1" ht="15" customHeight="1">
      <c r="A2" s="77" t="s">
        <v>35</v>
      </c>
      <c r="B2" s="105" t="s">
        <v>716</v>
      </c>
      <c r="C2" s="105"/>
      <c r="D2" s="105"/>
      <c r="E2" s="106"/>
      <c r="F2" s="67"/>
      <c r="G2" s="61"/>
      <c r="H2" s="9"/>
      <c r="I2" s="67"/>
      <c r="J2" s="61"/>
      <c r="K2" s="9"/>
      <c r="L2" s="67"/>
      <c r="M2" s="61"/>
      <c r="N2" s="9"/>
      <c r="O2" s="9"/>
      <c r="P2" s="9"/>
      <c r="Q2" s="24"/>
      <c r="R2" s="25" t="s">
        <v>37</v>
      </c>
    </row>
    <row r="3" spans="1:18" s="25" customFormat="1" ht="28.05" customHeight="1">
      <c r="A3" s="78" t="s">
        <v>20</v>
      </c>
      <c r="B3" s="107" t="s">
        <v>717</v>
      </c>
      <c r="C3" s="107"/>
      <c r="D3" s="107"/>
      <c r="E3" s="108"/>
      <c r="F3" s="67"/>
      <c r="G3" s="61"/>
      <c r="H3" s="9"/>
      <c r="I3" s="67"/>
      <c r="J3" s="61"/>
      <c r="K3" s="9"/>
      <c r="L3" s="67"/>
      <c r="M3" s="61"/>
      <c r="N3" s="9"/>
      <c r="O3" s="9"/>
      <c r="P3" s="9"/>
      <c r="Q3" s="24"/>
      <c r="R3" s="25" t="s">
        <v>38</v>
      </c>
    </row>
    <row r="4" spans="1:18" s="25" customFormat="1" ht="18" customHeight="1">
      <c r="A4" s="78" t="s">
        <v>45</v>
      </c>
      <c r="B4" s="107">
        <f>COUNTA(B11:B2018)</f>
        <v>27</v>
      </c>
      <c r="C4" s="107"/>
      <c r="D4" s="107"/>
      <c r="E4" s="108"/>
      <c r="F4" s="67"/>
      <c r="G4" s="61"/>
      <c r="H4" s="9"/>
      <c r="I4" s="67"/>
      <c r="J4" s="61"/>
      <c r="K4" s="9"/>
      <c r="L4" s="67"/>
      <c r="M4" s="61"/>
      <c r="N4" s="9"/>
      <c r="O4" s="9"/>
      <c r="P4" s="9"/>
      <c r="Q4" s="24"/>
      <c r="R4" s="25" t="s">
        <v>36</v>
      </c>
    </row>
    <row r="5" spans="1:18" s="25" customFormat="1" ht="19.5" customHeight="1">
      <c r="A5" s="71" t="s">
        <v>39</v>
      </c>
      <c r="B5" s="69" t="s">
        <v>37</v>
      </c>
      <c r="C5" s="69" t="s">
        <v>38</v>
      </c>
      <c r="D5" s="69" t="s">
        <v>36</v>
      </c>
      <c r="E5" s="72" t="s">
        <v>22</v>
      </c>
      <c r="F5" s="62"/>
      <c r="G5" s="62"/>
      <c r="H5" s="26"/>
      <c r="I5" s="62"/>
      <c r="J5" s="62"/>
      <c r="K5" s="26"/>
      <c r="L5" s="62"/>
      <c r="M5" s="62"/>
      <c r="N5" s="26"/>
      <c r="O5" s="26"/>
      <c r="P5" s="26"/>
      <c r="Q5" s="27"/>
      <c r="R5" s="25" t="s">
        <v>22</v>
      </c>
    </row>
    <row r="6" spans="1:18" s="25" customFormat="1" ht="15" customHeight="1">
      <c r="A6" s="71" t="s">
        <v>40</v>
      </c>
      <c r="B6" s="70">
        <f>COUNTIF($F$11:$F$2018,B$5)</f>
        <v>27</v>
      </c>
      <c r="C6" s="70">
        <f>COUNTIF($F$11:$F$2018,C$5)</f>
        <v>0</v>
      </c>
      <c r="D6" s="70">
        <f>COUNTIF($F$11:$F$2018,D$5)</f>
        <v>0</v>
      </c>
      <c r="E6" s="76">
        <f>COUNTIF($F$11:$F$2018,E$5)</f>
        <v>0</v>
      </c>
      <c r="F6" s="63"/>
      <c r="G6" s="63"/>
      <c r="H6" s="26"/>
      <c r="I6" s="63"/>
      <c r="J6" s="63"/>
      <c r="K6" s="26"/>
      <c r="L6" s="63"/>
      <c r="M6" s="63"/>
      <c r="N6" s="26"/>
      <c r="O6" s="26"/>
      <c r="P6" s="26"/>
      <c r="Q6" s="27"/>
    </row>
    <row r="7" spans="1:18" s="25" customFormat="1" ht="15" customHeight="1">
      <c r="A7" s="71" t="s">
        <v>42</v>
      </c>
      <c r="B7" s="70">
        <f>COUNTIF($I$11:$I$2018,B$5)</f>
        <v>27</v>
      </c>
      <c r="C7" s="70">
        <f>COUNTIF($I$11:$I$2018,C$5)</f>
        <v>0</v>
      </c>
      <c r="D7" s="70">
        <f>COUNTIF($I$11:$I$2018,D$5)</f>
        <v>0</v>
      </c>
      <c r="E7" s="76">
        <f>COUNTIF($I$11:$I$2018,E$5)</f>
        <v>0</v>
      </c>
      <c r="F7" s="63"/>
      <c r="G7" s="63"/>
      <c r="H7" s="26"/>
      <c r="I7" s="63"/>
      <c r="J7" s="63"/>
      <c r="K7" s="26"/>
      <c r="L7" s="63"/>
      <c r="M7" s="63"/>
      <c r="N7" s="26"/>
      <c r="O7" s="26"/>
      <c r="P7" s="26"/>
      <c r="Q7" s="27"/>
    </row>
    <row r="8" spans="1:18" s="25" customFormat="1" ht="15" customHeight="1" thickBot="1">
      <c r="A8" s="73" t="s">
        <v>43</v>
      </c>
      <c r="B8" s="74">
        <f>COUNTIF($L$11:$L$2018,B$5)</f>
        <v>0</v>
      </c>
      <c r="C8" s="74">
        <f>COUNTIF($L$11:$L$2018,C$5)</f>
        <v>0</v>
      </c>
      <c r="D8" s="74">
        <f>COUNTIF($L$11:$L$2018,D$5)</f>
        <v>0</v>
      </c>
      <c r="E8" s="75">
        <f>COUNTIF($L$11:$L$2018,E$5)</f>
        <v>0</v>
      </c>
      <c r="F8" s="63"/>
      <c r="G8" s="63"/>
      <c r="H8" s="26"/>
      <c r="I8" s="63"/>
      <c r="J8" s="63"/>
      <c r="K8" s="26"/>
      <c r="L8" s="63"/>
      <c r="M8" s="63"/>
      <c r="N8" s="26"/>
      <c r="O8" s="26"/>
      <c r="P8" s="26"/>
      <c r="Q8" s="27"/>
    </row>
    <row r="9" spans="1:18" s="25" customFormat="1" ht="15" customHeight="1">
      <c r="A9" s="26"/>
      <c r="B9" s="26"/>
      <c r="C9" s="26"/>
      <c r="D9" s="26"/>
      <c r="E9" s="26"/>
      <c r="F9" s="28"/>
      <c r="G9" s="26"/>
      <c r="H9" s="26"/>
      <c r="I9" s="28"/>
      <c r="J9" s="26"/>
      <c r="K9" s="26"/>
      <c r="L9" s="28"/>
      <c r="M9" s="26"/>
      <c r="N9" s="26"/>
      <c r="O9" s="26"/>
      <c r="P9" s="26"/>
      <c r="Q9" s="27"/>
    </row>
    <row r="10" spans="1:18" s="25" customFormat="1" ht="25.5" customHeight="1">
      <c r="A10" s="68" t="s">
        <v>44</v>
      </c>
      <c r="B10" s="68" t="s">
        <v>23</v>
      </c>
      <c r="C10" s="68" t="s">
        <v>34</v>
      </c>
      <c r="D10" s="68" t="s">
        <v>33</v>
      </c>
      <c r="E10" s="68" t="s">
        <v>41</v>
      </c>
      <c r="F10" s="68" t="s">
        <v>40</v>
      </c>
      <c r="G10" s="68" t="s">
        <v>24</v>
      </c>
      <c r="H10" s="68" t="s">
        <v>21</v>
      </c>
      <c r="I10" s="68" t="s">
        <v>42</v>
      </c>
      <c r="J10" s="68" t="s">
        <v>24</v>
      </c>
      <c r="K10" s="68" t="s">
        <v>21</v>
      </c>
      <c r="L10" s="68" t="s">
        <v>43</v>
      </c>
      <c r="M10" s="68" t="s">
        <v>24</v>
      </c>
      <c r="N10" s="68" t="s">
        <v>21</v>
      </c>
      <c r="O10" s="68" t="s">
        <v>25</v>
      </c>
      <c r="Q10" s="29"/>
    </row>
    <row r="11" spans="1:18" ht="32.4" customHeight="1" outlineLevel="1">
      <c r="A11" s="31" t="s">
        <v>718</v>
      </c>
      <c r="B11" s="31" t="s">
        <v>719</v>
      </c>
      <c r="C11" s="31" t="s">
        <v>720</v>
      </c>
      <c r="D11" s="33" t="s">
        <v>721</v>
      </c>
      <c r="E11" s="33" t="s">
        <v>105</v>
      </c>
      <c r="F11" s="111" t="s">
        <v>37</v>
      </c>
      <c r="G11" s="112" t="s">
        <v>472</v>
      </c>
      <c r="H11" s="111" t="s">
        <v>58</v>
      </c>
      <c r="I11" s="111" t="s">
        <v>37</v>
      </c>
      <c r="J11" s="112" t="s">
        <v>472</v>
      </c>
      <c r="K11" s="111" t="s">
        <v>58</v>
      </c>
      <c r="L11" s="111"/>
      <c r="M11" s="112" t="s">
        <v>51</v>
      </c>
      <c r="N11" s="111"/>
      <c r="O11" s="113" t="s">
        <v>59</v>
      </c>
      <c r="Q11" s="32"/>
    </row>
    <row r="12" spans="1:18" ht="32.4" customHeight="1" outlineLevel="1">
      <c r="A12" s="31" t="s">
        <v>722</v>
      </c>
      <c r="B12" s="31" t="s">
        <v>723</v>
      </c>
      <c r="C12" s="31" t="s">
        <v>720</v>
      </c>
      <c r="D12" s="33" t="s">
        <v>724</v>
      </c>
      <c r="E12" s="33" t="s">
        <v>105</v>
      </c>
      <c r="F12" s="111" t="s">
        <v>37</v>
      </c>
      <c r="G12" s="112" t="s">
        <v>472</v>
      </c>
      <c r="H12" s="111" t="s">
        <v>58</v>
      </c>
      <c r="I12" s="111" t="s">
        <v>37</v>
      </c>
      <c r="J12" s="112" t="s">
        <v>472</v>
      </c>
      <c r="K12" s="111" t="s">
        <v>58</v>
      </c>
      <c r="L12" s="111"/>
      <c r="M12" s="112" t="s">
        <v>51</v>
      </c>
      <c r="N12" s="111"/>
      <c r="O12" s="113" t="s">
        <v>59</v>
      </c>
      <c r="Q12" s="32"/>
    </row>
    <row r="13" spans="1:18" ht="32.4" customHeight="1" outlineLevel="1">
      <c r="A13" s="31" t="s">
        <v>725</v>
      </c>
      <c r="B13" s="31" t="s">
        <v>726</v>
      </c>
      <c r="C13" s="31" t="s">
        <v>720</v>
      </c>
      <c r="D13" s="33" t="s">
        <v>528</v>
      </c>
      <c r="E13" s="33" t="s">
        <v>632</v>
      </c>
      <c r="F13" s="111" t="s">
        <v>37</v>
      </c>
      <c r="G13" s="112" t="s">
        <v>472</v>
      </c>
      <c r="H13" s="111" t="s">
        <v>58</v>
      </c>
      <c r="I13" s="111" t="s">
        <v>37</v>
      </c>
      <c r="J13" s="112" t="s">
        <v>472</v>
      </c>
      <c r="K13" s="111" t="s">
        <v>58</v>
      </c>
      <c r="L13" s="111"/>
      <c r="M13" s="112" t="s">
        <v>51</v>
      </c>
      <c r="N13" s="111"/>
      <c r="O13" s="113" t="s">
        <v>59</v>
      </c>
      <c r="Q13" s="32"/>
    </row>
    <row r="14" spans="1:18" ht="32.4" customHeight="1" outlineLevel="1">
      <c r="A14" s="31" t="s">
        <v>727</v>
      </c>
      <c r="B14" s="31" t="s">
        <v>728</v>
      </c>
      <c r="C14" s="31" t="s">
        <v>720</v>
      </c>
      <c r="D14" s="33" t="s">
        <v>528</v>
      </c>
      <c r="E14" s="33" t="s">
        <v>632</v>
      </c>
      <c r="F14" s="111" t="s">
        <v>37</v>
      </c>
      <c r="G14" s="112" t="s">
        <v>472</v>
      </c>
      <c r="H14" s="111" t="s">
        <v>58</v>
      </c>
      <c r="I14" s="111" t="s">
        <v>37</v>
      </c>
      <c r="J14" s="112" t="s">
        <v>472</v>
      </c>
      <c r="K14" s="111" t="s">
        <v>58</v>
      </c>
      <c r="L14" s="111"/>
      <c r="M14" s="112" t="s">
        <v>51</v>
      </c>
      <c r="N14" s="111"/>
      <c r="O14" s="113" t="s">
        <v>59</v>
      </c>
      <c r="Q14" s="32"/>
    </row>
    <row r="15" spans="1:18" ht="32.4" customHeight="1" outlineLevel="1">
      <c r="A15" s="31" t="s">
        <v>729</v>
      </c>
      <c r="B15" s="31" t="s">
        <v>730</v>
      </c>
      <c r="C15" s="31" t="s">
        <v>731</v>
      </c>
      <c r="D15" s="33" t="s">
        <v>528</v>
      </c>
      <c r="E15" s="33" t="s">
        <v>632</v>
      </c>
      <c r="F15" s="111" t="s">
        <v>37</v>
      </c>
      <c r="G15" s="112" t="s">
        <v>472</v>
      </c>
      <c r="H15" s="111" t="s">
        <v>58</v>
      </c>
      <c r="I15" s="111" t="s">
        <v>37</v>
      </c>
      <c r="J15" s="112" t="s">
        <v>472</v>
      </c>
      <c r="K15" s="111" t="s">
        <v>58</v>
      </c>
      <c r="L15" s="111"/>
      <c r="M15" s="112" t="s">
        <v>51</v>
      </c>
      <c r="N15" s="111"/>
      <c r="O15" s="113" t="s">
        <v>59</v>
      </c>
      <c r="Q15" s="32"/>
    </row>
    <row r="16" spans="1:18" ht="32.4" customHeight="1" outlineLevel="1">
      <c r="A16" s="31" t="s">
        <v>732</v>
      </c>
      <c r="B16" s="31" t="s">
        <v>733</v>
      </c>
      <c r="C16" s="31" t="s">
        <v>731</v>
      </c>
      <c r="D16" s="33" t="s">
        <v>489</v>
      </c>
      <c r="E16" s="33" t="s">
        <v>105</v>
      </c>
      <c r="F16" s="111" t="s">
        <v>37</v>
      </c>
      <c r="G16" s="112" t="s">
        <v>472</v>
      </c>
      <c r="H16" s="111" t="s">
        <v>58</v>
      </c>
      <c r="I16" s="111" t="s">
        <v>37</v>
      </c>
      <c r="J16" s="112" t="s">
        <v>472</v>
      </c>
      <c r="K16" s="111" t="s">
        <v>58</v>
      </c>
      <c r="L16" s="111"/>
      <c r="M16" s="112" t="s">
        <v>51</v>
      </c>
      <c r="N16" s="111"/>
      <c r="O16" s="113" t="s">
        <v>59</v>
      </c>
      <c r="Q16" s="32"/>
    </row>
    <row r="17" spans="1:17" ht="32.4" customHeight="1" outlineLevel="1">
      <c r="A17" s="31" t="s">
        <v>734</v>
      </c>
      <c r="B17" s="31" t="s">
        <v>735</v>
      </c>
      <c r="C17" s="31" t="s">
        <v>736</v>
      </c>
      <c r="D17" s="33" t="s">
        <v>479</v>
      </c>
      <c r="E17" s="33" t="s">
        <v>105</v>
      </c>
      <c r="F17" s="111" t="s">
        <v>37</v>
      </c>
      <c r="G17" s="112" t="s">
        <v>472</v>
      </c>
      <c r="H17" s="111" t="s">
        <v>58</v>
      </c>
      <c r="I17" s="111" t="s">
        <v>37</v>
      </c>
      <c r="J17" s="112" t="s">
        <v>472</v>
      </c>
      <c r="K17" s="111" t="s">
        <v>58</v>
      </c>
      <c r="L17" s="111"/>
      <c r="M17" s="112" t="s">
        <v>51</v>
      </c>
      <c r="N17" s="111"/>
      <c r="O17" s="113" t="s">
        <v>59</v>
      </c>
      <c r="Q17" s="32"/>
    </row>
    <row r="18" spans="1:17" ht="32.4" customHeight="1" outlineLevel="1">
      <c r="A18" s="31" t="s">
        <v>737</v>
      </c>
      <c r="B18" s="31" t="s">
        <v>738</v>
      </c>
      <c r="C18" s="31" t="s">
        <v>739</v>
      </c>
      <c r="D18" s="33" t="s">
        <v>500</v>
      </c>
      <c r="E18" s="33" t="s">
        <v>632</v>
      </c>
      <c r="F18" s="111" t="s">
        <v>37</v>
      </c>
      <c r="G18" s="112" t="s">
        <v>472</v>
      </c>
      <c r="H18" s="111" t="s">
        <v>58</v>
      </c>
      <c r="I18" s="111" t="s">
        <v>37</v>
      </c>
      <c r="J18" s="112" t="s">
        <v>472</v>
      </c>
      <c r="K18" s="111" t="s">
        <v>58</v>
      </c>
      <c r="L18" s="111"/>
      <c r="M18" s="112" t="s">
        <v>51</v>
      </c>
      <c r="N18" s="111"/>
      <c r="O18" s="113" t="s">
        <v>59</v>
      </c>
      <c r="Q18" s="32"/>
    </row>
    <row r="19" spans="1:17" ht="45.6" customHeight="1" outlineLevel="1">
      <c r="A19" s="31" t="s">
        <v>740</v>
      </c>
      <c r="B19" s="31" t="s">
        <v>741</v>
      </c>
      <c r="C19" s="31" t="s">
        <v>742</v>
      </c>
      <c r="D19" s="33" t="s">
        <v>743</v>
      </c>
      <c r="E19" s="33" t="s">
        <v>632</v>
      </c>
      <c r="F19" s="111" t="s">
        <v>37</v>
      </c>
      <c r="G19" s="112" t="s">
        <v>472</v>
      </c>
      <c r="H19" s="111" t="s">
        <v>58</v>
      </c>
      <c r="I19" s="111" t="s">
        <v>37</v>
      </c>
      <c r="J19" s="112" t="s">
        <v>472</v>
      </c>
      <c r="K19" s="111" t="s">
        <v>58</v>
      </c>
      <c r="L19" s="111"/>
      <c r="M19" s="112" t="s">
        <v>51</v>
      </c>
      <c r="N19" s="111"/>
      <c r="O19" s="113" t="s">
        <v>59</v>
      </c>
      <c r="Q19" s="32"/>
    </row>
    <row r="20" spans="1:17" ht="32.4" customHeight="1" outlineLevel="1">
      <c r="A20" s="31" t="s">
        <v>744</v>
      </c>
      <c r="B20" s="31" t="s">
        <v>745</v>
      </c>
      <c r="C20" s="31" t="s">
        <v>739</v>
      </c>
      <c r="D20" s="33" t="s">
        <v>500</v>
      </c>
      <c r="E20" s="33" t="s">
        <v>632</v>
      </c>
      <c r="F20" s="111" t="s">
        <v>37</v>
      </c>
      <c r="G20" s="112" t="s">
        <v>472</v>
      </c>
      <c r="H20" s="111" t="s">
        <v>58</v>
      </c>
      <c r="I20" s="111" t="s">
        <v>37</v>
      </c>
      <c r="J20" s="112" t="s">
        <v>472</v>
      </c>
      <c r="K20" s="111" t="s">
        <v>58</v>
      </c>
      <c r="L20" s="111"/>
      <c r="M20" s="112" t="s">
        <v>51</v>
      </c>
      <c r="N20" s="111"/>
      <c r="O20" s="113" t="s">
        <v>59</v>
      </c>
      <c r="Q20" s="32"/>
    </row>
    <row r="21" spans="1:17" ht="45.6" customHeight="1" outlineLevel="1">
      <c r="A21" s="31" t="s">
        <v>746</v>
      </c>
      <c r="B21" s="31" t="s">
        <v>747</v>
      </c>
      <c r="C21" s="31" t="s">
        <v>748</v>
      </c>
      <c r="D21" s="33" t="s">
        <v>500</v>
      </c>
      <c r="E21" s="33" t="s">
        <v>632</v>
      </c>
      <c r="F21" s="111" t="s">
        <v>37</v>
      </c>
      <c r="G21" s="112" t="s">
        <v>472</v>
      </c>
      <c r="H21" s="111" t="s">
        <v>58</v>
      </c>
      <c r="I21" s="111" t="s">
        <v>37</v>
      </c>
      <c r="J21" s="112" t="s">
        <v>472</v>
      </c>
      <c r="K21" s="111" t="s">
        <v>58</v>
      </c>
      <c r="L21" s="111"/>
      <c r="M21" s="112" t="s">
        <v>51</v>
      </c>
      <c r="N21" s="111"/>
      <c r="O21" s="113" t="s">
        <v>59</v>
      </c>
      <c r="Q21" s="32"/>
    </row>
    <row r="22" spans="1:17" ht="45.6" customHeight="1" outlineLevel="1">
      <c r="A22" s="31" t="s">
        <v>749</v>
      </c>
      <c r="B22" s="31" t="s">
        <v>750</v>
      </c>
      <c r="C22" s="31" t="s">
        <v>748</v>
      </c>
      <c r="D22" s="33" t="s">
        <v>475</v>
      </c>
      <c r="E22" s="33" t="s">
        <v>105</v>
      </c>
      <c r="F22" s="111" t="s">
        <v>37</v>
      </c>
      <c r="G22" s="112" t="s">
        <v>472</v>
      </c>
      <c r="H22" s="111" t="s">
        <v>58</v>
      </c>
      <c r="I22" s="111" t="s">
        <v>37</v>
      </c>
      <c r="J22" s="112" t="s">
        <v>472</v>
      </c>
      <c r="K22" s="111" t="s">
        <v>58</v>
      </c>
      <c r="L22" s="111"/>
      <c r="M22" s="112" t="s">
        <v>51</v>
      </c>
      <c r="N22" s="111"/>
      <c r="O22" s="113" t="s">
        <v>59</v>
      </c>
      <c r="Q22" s="32"/>
    </row>
    <row r="23" spans="1:17" ht="45.6" customHeight="1" outlineLevel="1">
      <c r="A23" s="31" t="s">
        <v>751</v>
      </c>
      <c r="B23" s="31" t="s">
        <v>752</v>
      </c>
      <c r="C23" s="31" t="s">
        <v>748</v>
      </c>
      <c r="D23" s="33" t="s">
        <v>489</v>
      </c>
      <c r="E23" s="33" t="s">
        <v>105</v>
      </c>
      <c r="F23" s="111" t="s">
        <v>37</v>
      </c>
      <c r="G23" s="112" t="s">
        <v>472</v>
      </c>
      <c r="H23" s="111" t="s">
        <v>58</v>
      </c>
      <c r="I23" s="111" t="s">
        <v>37</v>
      </c>
      <c r="J23" s="112" t="s">
        <v>472</v>
      </c>
      <c r="K23" s="111" t="s">
        <v>58</v>
      </c>
      <c r="L23" s="111"/>
      <c r="M23" s="112" t="s">
        <v>51</v>
      </c>
      <c r="N23" s="111"/>
      <c r="O23" s="113" t="s">
        <v>59</v>
      </c>
      <c r="Q23" s="32"/>
    </row>
    <row r="24" spans="1:17" ht="32.4" customHeight="1" outlineLevel="1">
      <c r="A24" s="31" t="s">
        <v>753</v>
      </c>
      <c r="B24" s="31" t="s">
        <v>754</v>
      </c>
      <c r="C24" s="31" t="s">
        <v>755</v>
      </c>
      <c r="D24" s="33" t="s">
        <v>528</v>
      </c>
      <c r="E24" s="33" t="s">
        <v>632</v>
      </c>
      <c r="F24" s="111" t="s">
        <v>37</v>
      </c>
      <c r="G24" s="112" t="s">
        <v>472</v>
      </c>
      <c r="H24" s="111" t="s">
        <v>58</v>
      </c>
      <c r="I24" s="111" t="s">
        <v>37</v>
      </c>
      <c r="J24" s="112" t="s">
        <v>472</v>
      </c>
      <c r="K24" s="111" t="s">
        <v>58</v>
      </c>
      <c r="L24" s="111"/>
      <c r="M24" s="112" t="s">
        <v>51</v>
      </c>
      <c r="N24" s="111"/>
      <c r="O24" s="113" t="s">
        <v>59</v>
      </c>
      <c r="Q24" s="32"/>
    </row>
    <row r="25" spans="1:17" ht="32.4" customHeight="1" outlineLevel="1">
      <c r="A25" s="31" t="s">
        <v>756</v>
      </c>
      <c r="B25" s="31" t="s">
        <v>757</v>
      </c>
      <c r="C25" s="31" t="s">
        <v>635</v>
      </c>
      <c r="D25" s="33" t="s">
        <v>509</v>
      </c>
      <c r="E25" s="33" t="s">
        <v>632</v>
      </c>
      <c r="F25" s="111" t="s">
        <v>37</v>
      </c>
      <c r="G25" s="112" t="s">
        <v>472</v>
      </c>
      <c r="H25" s="111" t="s">
        <v>58</v>
      </c>
      <c r="I25" s="111" t="s">
        <v>37</v>
      </c>
      <c r="J25" s="112" t="s">
        <v>472</v>
      </c>
      <c r="K25" s="111" t="s">
        <v>58</v>
      </c>
      <c r="L25" s="111"/>
      <c r="M25" s="112" t="s">
        <v>51</v>
      </c>
      <c r="N25" s="111"/>
      <c r="O25" s="113" t="s">
        <v>59</v>
      </c>
      <c r="Q25" s="32"/>
    </row>
    <row r="26" spans="1:17" ht="32.4" customHeight="1" outlineLevel="1">
      <c r="A26" s="31" t="s">
        <v>758</v>
      </c>
      <c r="B26" s="31" t="s">
        <v>759</v>
      </c>
      <c r="C26" s="31" t="s">
        <v>755</v>
      </c>
      <c r="D26" s="33" t="s">
        <v>475</v>
      </c>
      <c r="E26" s="33" t="s">
        <v>632</v>
      </c>
      <c r="F26" s="111" t="s">
        <v>37</v>
      </c>
      <c r="G26" s="112" t="s">
        <v>472</v>
      </c>
      <c r="H26" s="111" t="s">
        <v>58</v>
      </c>
      <c r="I26" s="111" t="s">
        <v>37</v>
      </c>
      <c r="J26" s="112" t="s">
        <v>472</v>
      </c>
      <c r="K26" s="111" t="s">
        <v>58</v>
      </c>
      <c r="L26" s="111"/>
      <c r="M26" s="112" t="s">
        <v>51</v>
      </c>
      <c r="N26" s="111"/>
      <c r="O26" s="113" t="s">
        <v>59</v>
      </c>
      <c r="Q26" s="32"/>
    </row>
    <row r="27" spans="1:17" ht="32.4" customHeight="1" outlineLevel="1">
      <c r="A27" s="31" t="s">
        <v>760</v>
      </c>
      <c r="B27" s="31" t="s">
        <v>761</v>
      </c>
      <c r="C27" s="31" t="s">
        <v>755</v>
      </c>
      <c r="D27" s="33" t="s">
        <v>475</v>
      </c>
      <c r="E27" s="33" t="s">
        <v>632</v>
      </c>
      <c r="F27" s="111" t="s">
        <v>37</v>
      </c>
      <c r="G27" s="112" t="s">
        <v>472</v>
      </c>
      <c r="H27" s="111" t="s">
        <v>58</v>
      </c>
      <c r="I27" s="111" t="s">
        <v>37</v>
      </c>
      <c r="J27" s="112" t="s">
        <v>472</v>
      </c>
      <c r="K27" s="111" t="s">
        <v>58</v>
      </c>
      <c r="L27" s="111"/>
      <c r="M27" s="112" t="s">
        <v>51</v>
      </c>
      <c r="N27" s="111"/>
      <c r="O27" s="113" t="s">
        <v>59</v>
      </c>
      <c r="Q27" s="32"/>
    </row>
    <row r="28" spans="1:17" ht="32.4" customHeight="1" outlineLevel="1">
      <c r="A28" s="31" t="s">
        <v>762</v>
      </c>
      <c r="B28" s="31" t="s">
        <v>763</v>
      </c>
      <c r="C28" s="31" t="s">
        <v>755</v>
      </c>
      <c r="D28" s="33" t="s">
        <v>475</v>
      </c>
      <c r="E28" s="33" t="s">
        <v>105</v>
      </c>
      <c r="F28" s="111" t="s">
        <v>37</v>
      </c>
      <c r="G28" s="112" t="s">
        <v>472</v>
      </c>
      <c r="H28" s="111" t="s">
        <v>58</v>
      </c>
      <c r="I28" s="111" t="s">
        <v>37</v>
      </c>
      <c r="J28" s="112" t="s">
        <v>472</v>
      </c>
      <c r="K28" s="111" t="s">
        <v>58</v>
      </c>
      <c r="L28" s="111"/>
      <c r="M28" s="112" t="s">
        <v>51</v>
      </c>
      <c r="N28" s="111"/>
      <c r="O28" s="113" t="s">
        <v>59</v>
      </c>
      <c r="Q28" s="32"/>
    </row>
    <row r="29" spans="1:17" ht="45.6" customHeight="1" outlineLevel="1">
      <c r="A29" s="31" t="s">
        <v>764</v>
      </c>
      <c r="B29" s="31" t="s">
        <v>765</v>
      </c>
      <c r="C29" s="31" t="s">
        <v>766</v>
      </c>
      <c r="D29" s="33" t="s">
        <v>500</v>
      </c>
      <c r="E29" s="33" t="s">
        <v>632</v>
      </c>
      <c r="F29" s="111" t="s">
        <v>37</v>
      </c>
      <c r="G29" s="112" t="s">
        <v>472</v>
      </c>
      <c r="H29" s="111" t="s">
        <v>58</v>
      </c>
      <c r="I29" s="111" t="s">
        <v>37</v>
      </c>
      <c r="J29" s="112" t="s">
        <v>472</v>
      </c>
      <c r="K29" s="111" t="s">
        <v>58</v>
      </c>
      <c r="L29" s="111"/>
      <c r="M29" s="112" t="s">
        <v>51</v>
      </c>
      <c r="N29" s="111"/>
      <c r="O29" s="113" t="s">
        <v>59</v>
      </c>
      <c r="Q29" s="32"/>
    </row>
    <row r="30" spans="1:17" ht="45.6" customHeight="1" outlineLevel="1">
      <c r="A30" s="31" t="s">
        <v>767</v>
      </c>
      <c r="B30" s="31" t="s">
        <v>768</v>
      </c>
      <c r="C30" s="31" t="s">
        <v>769</v>
      </c>
      <c r="D30" s="33" t="s">
        <v>500</v>
      </c>
      <c r="E30" s="33" t="s">
        <v>632</v>
      </c>
      <c r="F30" s="111" t="s">
        <v>37</v>
      </c>
      <c r="G30" s="112" t="s">
        <v>472</v>
      </c>
      <c r="H30" s="111" t="s">
        <v>58</v>
      </c>
      <c r="I30" s="111" t="s">
        <v>37</v>
      </c>
      <c r="J30" s="112" t="s">
        <v>472</v>
      </c>
      <c r="K30" s="111" t="s">
        <v>58</v>
      </c>
      <c r="L30" s="111"/>
      <c r="M30" s="112" t="s">
        <v>51</v>
      </c>
      <c r="N30" s="111"/>
      <c r="O30" s="113" t="s">
        <v>59</v>
      </c>
      <c r="Q30" s="32"/>
    </row>
    <row r="31" spans="1:17" ht="32.4" customHeight="1" outlineLevel="1">
      <c r="A31" s="31" t="s">
        <v>770</v>
      </c>
      <c r="B31" s="31" t="s">
        <v>771</v>
      </c>
      <c r="C31" s="31" t="s">
        <v>739</v>
      </c>
      <c r="D31" s="33" t="s">
        <v>772</v>
      </c>
      <c r="E31" s="33" t="s">
        <v>632</v>
      </c>
      <c r="F31" s="111" t="s">
        <v>37</v>
      </c>
      <c r="G31" s="112" t="s">
        <v>472</v>
      </c>
      <c r="H31" s="111" t="s">
        <v>58</v>
      </c>
      <c r="I31" s="111" t="s">
        <v>37</v>
      </c>
      <c r="J31" s="112" t="s">
        <v>472</v>
      </c>
      <c r="K31" s="111" t="s">
        <v>58</v>
      </c>
      <c r="L31" s="111"/>
      <c r="M31" s="112" t="s">
        <v>51</v>
      </c>
      <c r="N31" s="111"/>
      <c r="O31" s="113" t="s">
        <v>59</v>
      </c>
      <c r="Q31" s="32"/>
    </row>
    <row r="32" spans="1:17" ht="45.6" customHeight="1" outlineLevel="1">
      <c r="A32" s="31" t="s">
        <v>773</v>
      </c>
      <c r="B32" s="31" t="s">
        <v>774</v>
      </c>
      <c r="C32" s="31" t="s">
        <v>748</v>
      </c>
      <c r="D32" s="33" t="s">
        <v>775</v>
      </c>
      <c r="E32" s="33" t="s">
        <v>632</v>
      </c>
      <c r="F32" s="111" t="s">
        <v>37</v>
      </c>
      <c r="G32" s="112" t="s">
        <v>472</v>
      </c>
      <c r="H32" s="111" t="s">
        <v>58</v>
      </c>
      <c r="I32" s="111" t="s">
        <v>37</v>
      </c>
      <c r="J32" s="112" t="s">
        <v>472</v>
      </c>
      <c r="K32" s="111" t="s">
        <v>58</v>
      </c>
      <c r="L32" s="111"/>
      <c r="M32" s="112" t="s">
        <v>51</v>
      </c>
      <c r="N32" s="111"/>
      <c r="O32" s="113" t="s">
        <v>59</v>
      </c>
      <c r="Q32" s="32"/>
    </row>
    <row r="33" spans="1:17" ht="45.6" customHeight="1" outlineLevel="1">
      <c r="A33" s="31" t="s">
        <v>776</v>
      </c>
      <c r="B33" s="31" t="s">
        <v>777</v>
      </c>
      <c r="C33" s="31" t="s">
        <v>748</v>
      </c>
      <c r="D33" s="33" t="s">
        <v>778</v>
      </c>
      <c r="E33" s="33" t="s">
        <v>632</v>
      </c>
      <c r="F33" s="111" t="s">
        <v>37</v>
      </c>
      <c r="G33" s="112" t="s">
        <v>472</v>
      </c>
      <c r="H33" s="111" t="s">
        <v>58</v>
      </c>
      <c r="I33" s="111" t="s">
        <v>37</v>
      </c>
      <c r="J33" s="112" t="s">
        <v>472</v>
      </c>
      <c r="K33" s="111" t="s">
        <v>58</v>
      </c>
      <c r="L33" s="111"/>
      <c r="M33" s="112" t="s">
        <v>51</v>
      </c>
      <c r="N33" s="111"/>
      <c r="O33" s="113" t="s">
        <v>59</v>
      </c>
      <c r="Q33" s="32"/>
    </row>
    <row r="34" spans="1:17" ht="32.4" customHeight="1" outlineLevel="1">
      <c r="A34" s="31" t="s">
        <v>779</v>
      </c>
      <c r="B34" s="31" t="s">
        <v>780</v>
      </c>
      <c r="C34" s="31" t="s">
        <v>781</v>
      </c>
      <c r="D34" s="33" t="s">
        <v>479</v>
      </c>
      <c r="E34" s="33" t="s">
        <v>632</v>
      </c>
      <c r="F34" s="111" t="s">
        <v>37</v>
      </c>
      <c r="G34" s="112" t="s">
        <v>472</v>
      </c>
      <c r="H34" s="111" t="s">
        <v>58</v>
      </c>
      <c r="I34" s="111" t="s">
        <v>37</v>
      </c>
      <c r="J34" s="112" t="s">
        <v>472</v>
      </c>
      <c r="K34" s="111" t="s">
        <v>58</v>
      </c>
      <c r="L34" s="111"/>
      <c r="M34" s="112" t="s">
        <v>51</v>
      </c>
      <c r="N34" s="111"/>
      <c r="O34" s="113" t="s">
        <v>59</v>
      </c>
      <c r="Q34" s="32"/>
    </row>
    <row r="35" spans="1:17" ht="32.4" customHeight="1" outlineLevel="1">
      <c r="A35" s="31" t="s">
        <v>782</v>
      </c>
      <c r="B35" s="31" t="s">
        <v>783</v>
      </c>
      <c r="C35" s="31" t="s">
        <v>784</v>
      </c>
      <c r="D35" s="33" t="s">
        <v>528</v>
      </c>
      <c r="E35" s="33" t="s">
        <v>632</v>
      </c>
      <c r="F35" s="111" t="s">
        <v>37</v>
      </c>
      <c r="G35" s="112" t="s">
        <v>472</v>
      </c>
      <c r="H35" s="111" t="s">
        <v>58</v>
      </c>
      <c r="I35" s="111" t="s">
        <v>37</v>
      </c>
      <c r="J35" s="112" t="s">
        <v>472</v>
      </c>
      <c r="K35" s="111" t="s">
        <v>58</v>
      </c>
      <c r="L35" s="111"/>
      <c r="M35" s="112" t="s">
        <v>51</v>
      </c>
      <c r="N35" s="111"/>
      <c r="O35" s="113" t="s">
        <v>59</v>
      </c>
      <c r="Q35" s="32"/>
    </row>
    <row r="36" spans="1:17" ht="32.4" customHeight="1" outlineLevel="1">
      <c r="A36" s="31" t="s">
        <v>785</v>
      </c>
      <c r="B36" s="31" t="s">
        <v>786</v>
      </c>
      <c r="C36" s="31" t="s">
        <v>784</v>
      </c>
      <c r="D36" s="33" t="s">
        <v>475</v>
      </c>
      <c r="E36" s="33" t="s">
        <v>105</v>
      </c>
      <c r="F36" s="111" t="s">
        <v>37</v>
      </c>
      <c r="G36" s="112" t="s">
        <v>472</v>
      </c>
      <c r="H36" s="111" t="s">
        <v>58</v>
      </c>
      <c r="I36" s="111" t="s">
        <v>37</v>
      </c>
      <c r="J36" s="112" t="s">
        <v>472</v>
      </c>
      <c r="K36" s="111" t="s">
        <v>58</v>
      </c>
      <c r="L36" s="111"/>
      <c r="M36" s="112" t="s">
        <v>51</v>
      </c>
      <c r="N36" s="111"/>
      <c r="O36" s="113" t="s">
        <v>59</v>
      </c>
      <c r="Q36" s="32"/>
    </row>
    <row r="37" spans="1:17" ht="32.4" customHeight="1" outlineLevel="1">
      <c r="A37" s="31" t="s">
        <v>787</v>
      </c>
      <c r="B37" s="31" t="s">
        <v>788</v>
      </c>
      <c r="C37" s="31" t="s">
        <v>789</v>
      </c>
      <c r="D37" s="33" t="s">
        <v>479</v>
      </c>
      <c r="E37" s="33" t="s">
        <v>105</v>
      </c>
      <c r="F37" s="111" t="s">
        <v>37</v>
      </c>
      <c r="G37" s="112" t="s">
        <v>472</v>
      </c>
      <c r="H37" s="111" t="s">
        <v>58</v>
      </c>
      <c r="I37" s="111" t="s">
        <v>37</v>
      </c>
      <c r="J37" s="112" t="s">
        <v>472</v>
      </c>
      <c r="K37" s="111" t="s">
        <v>58</v>
      </c>
      <c r="L37" s="111"/>
      <c r="M37" s="112" t="s">
        <v>51</v>
      </c>
      <c r="N37" s="111"/>
      <c r="O37" s="113" t="s">
        <v>59</v>
      </c>
      <c r="Q37" s="32"/>
    </row>
  </sheetData>
  <mergeCells count="3">
    <mergeCell ref="B2:E2"/>
    <mergeCell ref="B3:E3"/>
    <mergeCell ref="B4:E4"/>
  </mergeCells>
  <dataValidations count="3">
    <dataValidation allowBlank="1" showErrorMessage="1" sqref="F10 I10 L10" xr:uid="{8EC32589-93CA-441B-A991-8F679CB65875}"/>
    <dataValidation type="list" allowBlank="1" showErrorMessage="1" sqref="G2:G3 G9 G38:G165 J2:J3 J9 J38:J165 M2:M3 M9 M38:M165" xr:uid="{63D85757-8EF4-4031-92DF-ADDFF150BDE9}">
      <formula1>$R$2:$R$5</formula1>
      <formula2>0</formula2>
    </dataValidation>
    <dataValidation type="list" allowBlank="1" showInputMessage="1" showErrorMessage="1" sqref="F11:F37 I11:I37 L11:L37" xr:uid="{029D933C-72D0-42F8-99FE-A4C03A97D883}">
      <formula1>$R$2:$R$5</formula1>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7BC15-595B-4008-9589-ACB9D1F607CE}">
  <sheetPr>
    <outlinePr summaryBelow="0" summaryRight="0"/>
  </sheetPr>
  <dimension ref="A1:R38"/>
  <sheetViews>
    <sheetView zoomScale="85" zoomScaleNormal="85" workbookViewId="0">
      <pane ySplit="10" topLeftCell="A11" activePane="bottomLeft" state="frozen"/>
      <selection pane="bottomLeft"/>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14.77734375" style="1" customWidth="1" outlineLevel="1"/>
    <col min="9" max="9" width="9.33203125" style="1" customWidth="1"/>
    <col min="10" max="10" width="10.6640625" style="1" customWidth="1" outlineLevel="1"/>
    <col min="11" max="11" width="14.77734375" style="1" customWidth="1" outlineLevel="1"/>
    <col min="12" max="12" width="9.33203125" style="1" customWidth="1"/>
    <col min="13" max="13" width="10.6640625" style="1" customWidth="1" outlineLevel="1"/>
    <col min="14" max="14" width="14.77734375" style="1" customWidth="1" outlineLevel="1"/>
    <col min="15" max="15" width="28.6640625" style="1" customWidth="1"/>
    <col min="16" max="16" width="10.109375" style="1" customWidth="1"/>
    <col min="17" max="17" width="8.109375" style="23" customWidth="1"/>
    <col min="18" max="18" width="7.6640625" style="1" hidden="1" customWidth="1"/>
    <col min="19" max="16384" width="9" style="1"/>
  </cols>
  <sheetData>
    <row r="1" spans="1:18" ht="13.8" thickBot="1"/>
    <row r="2" spans="1:18" s="25" customFormat="1" ht="15" customHeight="1">
      <c r="A2" s="77" t="s">
        <v>35</v>
      </c>
      <c r="B2" s="105" t="s">
        <v>790</v>
      </c>
      <c r="C2" s="105"/>
      <c r="D2" s="105"/>
      <c r="E2" s="106"/>
      <c r="F2" s="67"/>
      <c r="G2" s="61"/>
      <c r="H2" s="9"/>
      <c r="I2" s="67"/>
      <c r="J2" s="61"/>
      <c r="K2" s="9"/>
      <c r="L2" s="67"/>
      <c r="M2" s="61"/>
      <c r="N2" s="9"/>
      <c r="O2" s="9"/>
      <c r="P2" s="9"/>
      <c r="Q2" s="24"/>
      <c r="R2" s="25" t="s">
        <v>37</v>
      </c>
    </row>
    <row r="3" spans="1:18" s="25" customFormat="1" ht="28.05" customHeight="1">
      <c r="A3" s="78" t="s">
        <v>20</v>
      </c>
      <c r="B3" s="107" t="s">
        <v>791</v>
      </c>
      <c r="C3" s="107"/>
      <c r="D3" s="107"/>
      <c r="E3" s="108"/>
      <c r="F3" s="67"/>
      <c r="G3" s="61"/>
      <c r="H3" s="9"/>
      <c r="I3" s="67"/>
      <c r="J3" s="61"/>
      <c r="K3" s="9"/>
      <c r="L3" s="67"/>
      <c r="M3" s="61"/>
      <c r="N3" s="9"/>
      <c r="O3" s="9"/>
      <c r="P3" s="9"/>
      <c r="Q3" s="24"/>
      <c r="R3" s="25" t="s">
        <v>38</v>
      </c>
    </row>
    <row r="4" spans="1:18" s="25" customFormat="1" ht="18" customHeight="1">
      <c r="A4" s="78" t="s">
        <v>45</v>
      </c>
      <c r="B4" s="107">
        <f>COUNTA(B11:B2019)</f>
        <v>28</v>
      </c>
      <c r="C4" s="107"/>
      <c r="D4" s="107"/>
      <c r="E4" s="108"/>
      <c r="F4" s="67"/>
      <c r="G4" s="61"/>
      <c r="H4" s="9"/>
      <c r="I4" s="67"/>
      <c r="J4" s="61"/>
      <c r="K4" s="9"/>
      <c r="L4" s="67"/>
      <c r="M4" s="61"/>
      <c r="N4" s="9"/>
      <c r="O4" s="9"/>
      <c r="P4" s="9"/>
      <c r="Q4" s="24"/>
      <c r="R4" s="25" t="s">
        <v>36</v>
      </c>
    </row>
    <row r="5" spans="1:18" s="25" customFormat="1" ht="19.5" customHeight="1">
      <c r="A5" s="71" t="s">
        <v>39</v>
      </c>
      <c r="B5" s="69" t="s">
        <v>37</v>
      </c>
      <c r="C5" s="69" t="s">
        <v>38</v>
      </c>
      <c r="D5" s="69" t="s">
        <v>36</v>
      </c>
      <c r="E5" s="72" t="s">
        <v>22</v>
      </c>
      <c r="F5" s="62"/>
      <c r="G5" s="62"/>
      <c r="H5" s="26"/>
      <c r="I5" s="62"/>
      <c r="J5" s="62"/>
      <c r="K5" s="26"/>
      <c r="L5" s="62"/>
      <c r="M5" s="62"/>
      <c r="N5" s="26"/>
      <c r="O5" s="26"/>
      <c r="P5" s="26"/>
      <c r="Q5" s="27"/>
      <c r="R5" s="25" t="s">
        <v>22</v>
      </c>
    </row>
    <row r="6" spans="1:18" s="25" customFormat="1" ht="15" customHeight="1">
      <c r="A6" s="71" t="s">
        <v>40</v>
      </c>
      <c r="B6" s="70">
        <f>COUNTIF($F$11:$F$2019,B$5)</f>
        <v>28</v>
      </c>
      <c r="C6" s="70">
        <f>COUNTIF($F$11:$F$2019,C$5)</f>
        <v>0</v>
      </c>
      <c r="D6" s="70">
        <f>COUNTIF($F$11:$F$2019,D$5)</f>
        <v>0</v>
      </c>
      <c r="E6" s="76">
        <f>COUNTIF($F$11:$F$2019,E$5)</f>
        <v>0</v>
      </c>
      <c r="F6" s="63"/>
      <c r="G6" s="63"/>
      <c r="H6" s="26"/>
      <c r="I6" s="63"/>
      <c r="J6" s="63"/>
      <c r="K6" s="26"/>
      <c r="L6" s="63"/>
      <c r="M6" s="63"/>
      <c r="N6" s="26"/>
      <c r="O6" s="26"/>
      <c r="P6" s="26"/>
      <c r="Q6" s="27"/>
    </row>
    <row r="7" spans="1:18" s="25" customFormat="1" ht="15" customHeight="1">
      <c r="A7" s="71" t="s">
        <v>42</v>
      </c>
      <c r="B7" s="70">
        <f>COUNTIF($I$11:$I$2019,B$5)</f>
        <v>28</v>
      </c>
      <c r="C7" s="70">
        <f>COUNTIF($I$11:$I$2019,C$5)</f>
        <v>0</v>
      </c>
      <c r="D7" s="70">
        <f>COUNTIF($I$11:$I$2019,D$5)</f>
        <v>0</v>
      </c>
      <c r="E7" s="76">
        <f>COUNTIF($I$11:$I$2019,E$5)</f>
        <v>0</v>
      </c>
      <c r="F7" s="63"/>
      <c r="G7" s="63"/>
      <c r="H7" s="26"/>
      <c r="I7" s="63"/>
      <c r="J7" s="63"/>
      <c r="K7" s="26"/>
      <c r="L7" s="63"/>
      <c r="M7" s="63"/>
      <c r="N7" s="26"/>
      <c r="O7" s="26"/>
      <c r="P7" s="26"/>
      <c r="Q7" s="27"/>
    </row>
    <row r="8" spans="1:18" s="25" customFormat="1" ht="15" customHeight="1" thickBot="1">
      <c r="A8" s="73" t="s">
        <v>43</v>
      </c>
      <c r="B8" s="74">
        <f>COUNTIF($L$11:$L$2019,B$5)</f>
        <v>0</v>
      </c>
      <c r="C8" s="74">
        <f>COUNTIF($L$11:$L$2019,C$5)</f>
        <v>0</v>
      </c>
      <c r="D8" s="74">
        <f>COUNTIF($L$11:$L$2019,D$5)</f>
        <v>0</v>
      </c>
      <c r="E8" s="75">
        <f>COUNTIF($L$11:$L$2019,E$5)</f>
        <v>0</v>
      </c>
      <c r="F8" s="63"/>
      <c r="G8" s="63"/>
      <c r="H8" s="26"/>
      <c r="I8" s="63"/>
      <c r="J8" s="63"/>
      <c r="K8" s="26"/>
      <c r="L8" s="63"/>
      <c r="M8" s="63"/>
      <c r="N8" s="26"/>
      <c r="O8" s="26"/>
      <c r="P8" s="26"/>
      <c r="Q8" s="27"/>
    </row>
    <row r="9" spans="1:18" s="25" customFormat="1" ht="15" customHeight="1">
      <c r="A9" s="26"/>
      <c r="B9" s="26"/>
      <c r="C9" s="26"/>
      <c r="D9" s="26"/>
      <c r="E9" s="26"/>
      <c r="F9" s="28"/>
      <c r="G9" s="26"/>
      <c r="H9" s="26"/>
      <c r="I9" s="28"/>
      <c r="J9" s="26"/>
      <c r="K9" s="26"/>
      <c r="L9" s="28"/>
      <c r="M9" s="26"/>
      <c r="N9" s="26"/>
      <c r="O9" s="26"/>
      <c r="P9" s="26"/>
      <c r="Q9" s="27"/>
    </row>
    <row r="10" spans="1:18" s="25" customFormat="1" ht="25.5" customHeight="1">
      <c r="A10" s="68" t="s">
        <v>44</v>
      </c>
      <c r="B10" s="68" t="s">
        <v>23</v>
      </c>
      <c r="C10" s="68" t="s">
        <v>34</v>
      </c>
      <c r="D10" s="68" t="s">
        <v>33</v>
      </c>
      <c r="E10" s="68" t="s">
        <v>41</v>
      </c>
      <c r="F10" s="68" t="s">
        <v>40</v>
      </c>
      <c r="G10" s="68" t="s">
        <v>24</v>
      </c>
      <c r="H10" s="68" t="s">
        <v>21</v>
      </c>
      <c r="I10" s="68" t="s">
        <v>42</v>
      </c>
      <c r="J10" s="68" t="s">
        <v>24</v>
      </c>
      <c r="K10" s="68" t="s">
        <v>21</v>
      </c>
      <c r="L10" s="68" t="s">
        <v>43</v>
      </c>
      <c r="M10" s="68" t="s">
        <v>24</v>
      </c>
      <c r="N10" s="68" t="s">
        <v>21</v>
      </c>
      <c r="O10" s="68" t="s">
        <v>25</v>
      </c>
      <c r="Q10" s="29"/>
    </row>
    <row r="11" spans="1:18" ht="32.4" customHeight="1" outlineLevel="1">
      <c r="A11" s="31" t="s">
        <v>792</v>
      </c>
      <c r="B11" s="31" t="s">
        <v>793</v>
      </c>
      <c r="C11" s="31" t="s">
        <v>794</v>
      </c>
      <c r="D11" s="33" t="s">
        <v>528</v>
      </c>
      <c r="E11" s="33" t="s">
        <v>105</v>
      </c>
      <c r="F11" s="111" t="s">
        <v>37</v>
      </c>
      <c r="G11" s="112" t="s">
        <v>472</v>
      </c>
      <c r="H11" s="111" t="s">
        <v>58</v>
      </c>
      <c r="I11" s="111" t="s">
        <v>37</v>
      </c>
      <c r="J11" s="112" t="s">
        <v>472</v>
      </c>
      <c r="K11" s="111" t="s">
        <v>58</v>
      </c>
      <c r="L11" s="111"/>
      <c r="M11" s="112" t="s">
        <v>51</v>
      </c>
      <c r="N11" s="111"/>
      <c r="O11" s="113" t="s">
        <v>59</v>
      </c>
      <c r="Q11" s="32"/>
    </row>
    <row r="12" spans="1:18" ht="45.6" customHeight="1" outlineLevel="1">
      <c r="A12" s="31" t="s">
        <v>795</v>
      </c>
      <c r="B12" s="31" t="s">
        <v>796</v>
      </c>
      <c r="C12" s="31" t="s">
        <v>797</v>
      </c>
      <c r="D12" s="33" t="s">
        <v>798</v>
      </c>
      <c r="E12" s="33" t="s">
        <v>105</v>
      </c>
      <c r="F12" s="111" t="s">
        <v>37</v>
      </c>
      <c r="G12" s="112" t="s">
        <v>472</v>
      </c>
      <c r="H12" s="111" t="s">
        <v>58</v>
      </c>
      <c r="I12" s="111" t="s">
        <v>37</v>
      </c>
      <c r="J12" s="112" t="s">
        <v>472</v>
      </c>
      <c r="K12" s="111" t="s">
        <v>58</v>
      </c>
      <c r="L12" s="111"/>
      <c r="M12" s="112" t="s">
        <v>51</v>
      </c>
      <c r="N12" s="111"/>
      <c r="O12" s="113" t="s">
        <v>59</v>
      </c>
      <c r="Q12" s="32"/>
    </row>
    <row r="13" spans="1:18" ht="45.6" customHeight="1" outlineLevel="1">
      <c r="A13" s="31" t="s">
        <v>799</v>
      </c>
      <c r="B13" s="31" t="s">
        <v>800</v>
      </c>
      <c r="C13" s="31" t="s">
        <v>797</v>
      </c>
      <c r="D13" s="33" t="s">
        <v>778</v>
      </c>
      <c r="E13" s="33" t="s">
        <v>105</v>
      </c>
      <c r="F13" s="111" t="s">
        <v>37</v>
      </c>
      <c r="G13" s="112" t="s">
        <v>472</v>
      </c>
      <c r="H13" s="111" t="s">
        <v>58</v>
      </c>
      <c r="I13" s="111" t="s">
        <v>37</v>
      </c>
      <c r="J13" s="112" t="s">
        <v>472</v>
      </c>
      <c r="K13" s="111" t="s">
        <v>58</v>
      </c>
      <c r="L13" s="111"/>
      <c r="M13" s="112" t="s">
        <v>51</v>
      </c>
      <c r="N13" s="111"/>
      <c r="O13" s="113" t="s">
        <v>59</v>
      </c>
      <c r="Q13" s="32"/>
    </row>
    <row r="14" spans="1:18" ht="45.6" customHeight="1" outlineLevel="1">
      <c r="A14" s="31" t="s">
        <v>801</v>
      </c>
      <c r="B14" s="31" t="s">
        <v>802</v>
      </c>
      <c r="C14" s="31" t="s">
        <v>797</v>
      </c>
      <c r="D14" s="33" t="s">
        <v>778</v>
      </c>
      <c r="E14" s="33" t="s">
        <v>105</v>
      </c>
      <c r="F14" s="111" t="s">
        <v>37</v>
      </c>
      <c r="G14" s="112" t="s">
        <v>472</v>
      </c>
      <c r="H14" s="111" t="s">
        <v>58</v>
      </c>
      <c r="I14" s="111" t="s">
        <v>37</v>
      </c>
      <c r="J14" s="112" t="s">
        <v>472</v>
      </c>
      <c r="K14" s="111" t="s">
        <v>58</v>
      </c>
      <c r="L14" s="111"/>
      <c r="M14" s="112" t="s">
        <v>51</v>
      </c>
      <c r="N14" s="111"/>
      <c r="O14" s="113" t="s">
        <v>59</v>
      </c>
      <c r="Q14" s="32"/>
    </row>
    <row r="15" spans="1:18" ht="32.4" customHeight="1" outlineLevel="1">
      <c r="A15" s="31" t="s">
        <v>803</v>
      </c>
      <c r="B15" s="31" t="s">
        <v>804</v>
      </c>
      <c r="C15" s="31" t="s">
        <v>805</v>
      </c>
      <c r="D15" s="33" t="s">
        <v>479</v>
      </c>
      <c r="E15" s="33" t="s">
        <v>105</v>
      </c>
      <c r="F15" s="111" t="s">
        <v>37</v>
      </c>
      <c r="G15" s="112" t="s">
        <v>472</v>
      </c>
      <c r="H15" s="111" t="s">
        <v>58</v>
      </c>
      <c r="I15" s="111" t="s">
        <v>37</v>
      </c>
      <c r="J15" s="112" t="s">
        <v>472</v>
      </c>
      <c r="K15" s="111" t="s">
        <v>58</v>
      </c>
      <c r="L15" s="111"/>
      <c r="M15" s="112" t="s">
        <v>51</v>
      </c>
      <c r="N15" s="111"/>
      <c r="O15" s="113" t="s">
        <v>59</v>
      </c>
      <c r="Q15" s="32"/>
    </row>
    <row r="16" spans="1:18" ht="45.6" customHeight="1" outlineLevel="1">
      <c r="A16" s="31" t="s">
        <v>806</v>
      </c>
      <c r="B16" s="31" t="s">
        <v>807</v>
      </c>
      <c r="C16" s="31" t="s">
        <v>808</v>
      </c>
      <c r="D16" s="33" t="s">
        <v>479</v>
      </c>
      <c r="E16" s="33" t="s">
        <v>105</v>
      </c>
      <c r="F16" s="111" t="s">
        <v>37</v>
      </c>
      <c r="G16" s="112" t="s">
        <v>472</v>
      </c>
      <c r="H16" s="111" t="s">
        <v>58</v>
      </c>
      <c r="I16" s="111" t="s">
        <v>37</v>
      </c>
      <c r="J16" s="112" t="s">
        <v>472</v>
      </c>
      <c r="K16" s="111" t="s">
        <v>58</v>
      </c>
      <c r="L16" s="111"/>
      <c r="M16" s="112" t="s">
        <v>51</v>
      </c>
      <c r="N16" s="111"/>
      <c r="O16" s="113" t="s">
        <v>59</v>
      </c>
      <c r="Q16" s="32"/>
    </row>
    <row r="17" spans="1:17" ht="32.4" customHeight="1" outlineLevel="1">
      <c r="A17" s="31" t="s">
        <v>809</v>
      </c>
      <c r="B17" s="31" t="s">
        <v>810</v>
      </c>
      <c r="C17" s="31" t="s">
        <v>811</v>
      </c>
      <c r="D17" s="33" t="s">
        <v>500</v>
      </c>
      <c r="E17" s="33" t="s">
        <v>105</v>
      </c>
      <c r="F17" s="111" t="s">
        <v>37</v>
      </c>
      <c r="G17" s="112" t="s">
        <v>472</v>
      </c>
      <c r="H17" s="111" t="s">
        <v>58</v>
      </c>
      <c r="I17" s="111" t="s">
        <v>37</v>
      </c>
      <c r="J17" s="112" t="s">
        <v>472</v>
      </c>
      <c r="K17" s="111" t="s">
        <v>58</v>
      </c>
      <c r="L17" s="111"/>
      <c r="M17" s="112" t="s">
        <v>51</v>
      </c>
      <c r="N17" s="111"/>
      <c r="O17" s="113" t="s">
        <v>59</v>
      </c>
      <c r="Q17" s="32"/>
    </row>
    <row r="18" spans="1:17" ht="32.4" customHeight="1" outlineLevel="1">
      <c r="A18" s="31" t="s">
        <v>812</v>
      </c>
      <c r="B18" s="31" t="s">
        <v>813</v>
      </c>
      <c r="C18" s="31" t="s">
        <v>814</v>
      </c>
      <c r="D18" s="33" t="s">
        <v>815</v>
      </c>
      <c r="E18" s="33" t="s">
        <v>105</v>
      </c>
      <c r="F18" s="111" t="s">
        <v>37</v>
      </c>
      <c r="G18" s="112" t="s">
        <v>472</v>
      </c>
      <c r="H18" s="111" t="s">
        <v>58</v>
      </c>
      <c r="I18" s="111" t="s">
        <v>37</v>
      </c>
      <c r="J18" s="112" t="s">
        <v>472</v>
      </c>
      <c r="K18" s="111" t="s">
        <v>58</v>
      </c>
      <c r="L18" s="111"/>
      <c r="M18" s="112" t="s">
        <v>51</v>
      </c>
      <c r="N18" s="111"/>
      <c r="O18" s="113" t="s">
        <v>59</v>
      </c>
      <c r="Q18" s="32"/>
    </row>
    <row r="19" spans="1:17" ht="32.4" customHeight="1" outlineLevel="1">
      <c r="A19" s="31" t="s">
        <v>816</v>
      </c>
      <c r="B19" s="31" t="s">
        <v>817</v>
      </c>
      <c r="C19" s="31" t="s">
        <v>814</v>
      </c>
      <c r="D19" s="33" t="s">
        <v>818</v>
      </c>
      <c r="E19" s="33" t="s">
        <v>105</v>
      </c>
      <c r="F19" s="111" t="s">
        <v>37</v>
      </c>
      <c r="G19" s="112" t="s">
        <v>472</v>
      </c>
      <c r="H19" s="111" t="s">
        <v>58</v>
      </c>
      <c r="I19" s="111" t="s">
        <v>37</v>
      </c>
      <c r="J19" s="112" t="s">
        <v>472</v>
      </c>
      <c r="K19" s="111" t="s">
        <v>58</v>
      </c>
      <c r="L19" s="111"/>
      <c r="M19" s="112" t="s">
        <v>51</v>
      </c>
      <c r="N19" s="111"/>
      <c r="O19" s="113" t="s">
        <v>59</v>
      </c>
      <c r="Q19" s="32"/>
    </row>
    <row r="20" spans="1:17" ht="32.4" customHeight="1" outlineLevel="1">
      <c r="A20" s="31" t="s">
        <v>819</v>
      </c>
      <c r="B20" s="31" t="s">
        <v>820</v>
      </c>
      <c r="C20" s="31" t="s">
        <v>814</v>
      </c>
      <c r="D20" s="33" t="s">
        <v>500</v>
      </c>
      <c r="E20" s="33" t="s">
        <v>105</v>
      </c>
      <c r="F20" s="111" t="s">
        <v>37</v>
      </c>
      <c r="G20" s="112" t="s">
        <v>472</v>
      </c>
      <c r="H20" s="111" t="s">
        <v>58</v>
      </c>
      <c r="I20" s="111" t="s">
        <v>37</v>
      </c>
      <c r="J20" s="112" t="s">
        <v>472</v>
      </c>
      <c r="K20" s="111" t="s">
        <v>58</v>
      </c>
      <c r="L20" s="111"/>
      <c r="M20" s="112" t="s">
        <v>51</v>
      </c>
      <c r="N20" s="111"/>
      <c r="O20" s="113" t="s">
        <v>59</v>
      </c>
      <c r="Q20" s="32"/>
    </row>
    <row r="21" spans="1:17" ht="32.4" customHeight="1" outlineLevel="1">
      <c r="A21" s="31" t="s">
        <v>821</v>
      </c>
      <c r="B21" s="31" t="s">
        <v>822</v>
      </c>
      <c r="C21" s="31" t="s">
        <v>814</v>
      </c>
      <c r="D21" s="33" t="s">
        <v>475</v>
      </c>
      <c r="E21" s="33" t="s">
        <v>105</v>
      </c>
      <c r="F21" s="111" t="s">
        <v>37</v>
      </c>
      <c r="G21" s="112" t="s">
        <v>472</v>
      </c>
      <c r="H21" s="111" t="s">
        <v>58</v>
      </c>
      <c r="I21" s="111" t="s">
        <v>37</v>
      </c>
      <c r="J21" s="112" t="s">
        <v>472</v>
      </c>
      <c r="K21" s="111" t="s">
        <v>58</v>
      </c>
      <c r="L21" s="111"/>
      <c r="M21" s="112" t="s">
        <v>51</v>
      </c>
      <c r="N21" s="111"/>
      <c r="O21" s="113" t="s">
        <v>59</v>
      </c>
      <c r="Q21" s="32"/>
    </row>
    <row r="22" spans="1:17" ht="32.4" customHeight="1" outlineLevel="1">
      <c r="A22" s="31" t="s">
        <v>823</v>
      </c>
      <c r="B22" s="31" t="s">
        <v>824</v>
      </c>
      <c r="C22" s="31" t="s">
        <v>814</v>
      </c>
      <c r="D22" s="33" t="s">
        <v>475</v>
      </c>
      <c r="E22" s="33" t="s">
        <v>105</v>
      </c>
      <c r="F22" s="111" t="s">
        <v>37</v>
      </c>
      <c r="G22" s="112" t="s">
        <v>472</v>
      </c>
      <c r="H22" s="111" t="s">
        <v>58</v>
      </c>
      <c r="I22" s="111" t="s">
        <v>37</v>
      </c>
      <c r="J22" s="112" t="s">
        <v>472</v>
      </c>
      <c r="K22" s="111" t="s">
        <v>58</v>
      </c>
      <c r="L22" s="111"/>
      <c r="M22" s="112" t="s">
        <v>51</v>
      </c>
      <c r="N22" s="111"/>
      <c r="O22" s="113" t="s">
        <v>59</v>
      </c>
      <c r="Q22" s="32"/>
    </row>
    <row r="23" spans="1:17" ht="45.6" customHeight="1" outlineLevel="1">
      <c r="A23" s="31" t="s">
        <v>825</v>
      </c>
      <c r="B23" s="31" t="s">
        <v>826</v>
      </c>
      <c r="C23" s="31" t="s">
        <v>827</v>
      </c>
      <c r="D23" s="33" t="s">
        <v>828</v>
      </c>
      <c r="E23" s="33" t="s">
        <v>105</v>
      </c>
      <c r="F23" s="111" t="s">
        <v>37</v>
      </c>
      <c r="G23" s="112" t="s">
        <v>472</v>
      </c>
      <c r="H23" s="111" t="s">
        <v>58</v>
      </c>
      <c r="I23" s="111" t="s">
        <v>37</v>
      </c>
      <c r="J23" s="112" t="s">
        <v>472</v>
      </c>
      <c r="K23" s="111" t="s">
        <v>58</v>
      </c>
      <c r="L23" s="111"/>
      <c r="M23" s="112" t="s">
        <v>51</v>
      </c>
      <c r="N23" s="111"/>
      <c r="O23" s="113" t="s">
        <v>59</v>
      </c>
      <c r="Q23" s="32"/>
    </row>
    <row r="24" spans="1:17" ht="45.6" customHeight="1" outlineLevel="1">
      <c r="A24" s="31" t="s">
        <v>829</v>
      </c>
      <c r="B24" s="31" t="s">
        <v>830</v>
      </c>
      <c r="C24" s="31" t="s">
        <v>827</v>
      </c>
      <c r="D24" s="33" t="s">
        <v>489</v>
      </c>
      <c r="E24" s="33" t="s">
        <v>105</v>
      </c>
      <c r="F24" s="111" t="s">
        <v>37</v>
      </c>
      <c r="G24" s="112" t="s">
        <v>472</v>
      </c>
      <c r="H24" s="111" t="s">
        <v>58</v>
      </c>
      <c r="I24" s="111" t="s">
        <v>37</v>
      </c>
      <c r="J24" s="112" t="s">
        <v>472</v>
      </c>
      <c r="K24" s="111" t="s">
        <v>58</v>
      </c>
      <c r="L24" s="111"/>
      <c r="M24" s="112" t="s">
        <v>51</v>
      </c>
      <c r="N24" s="111"/>
      <c r="O24" s="113" t="s">
        <v>59</v>
      </c>
      <c r="Q24" s="32"/>
    </row>
    <row r="25" spans="1:17" ht="32.4" customHeight="1" outlineLevel="1">
      <c r="A25" s="31" t="s">
        <v>831</v>
      </c>
      <c r="B25" s="31" t="s">
        <v>832</v>
      </c>
      <c r="C25" s="31" t="s">
        <v>833</v>
      </c>
      <c r="D25" s="33" t="s">
        <v>500</v>
      </c>
      <c r="E25" s="33" t="s">
        <v>105</v>
      </c>
      <c r="F25" s="111" t="s">
        <v>37</v>
      </c>
      <c r="G25" s="112" t="s">
        <v>472</v>
      </c>
      <c r="H25" s="111" t="s">
        <v>58</v>
      </c>
      <c r="I25" s="111" t="s">
        <v>37</v>
      </c>
      <c r="J25" s="112" t="s">
        <v>472</v>
      </c>
      <c r="K25" s="111" t="s">
        <v>58</v>
      </c>
      <c r="L25" s="111"/>
      <c r="M25" s="112" t="s">
        <v>51</v>
      </c>
      <c r="N25" s="111"/>
      <c r="O25" s="113" t="s">
        <v>59</v>
      </c>
      <c r="Q25" s="32"/>
    </row>
    <row r="26" spans="1:17" ht="32.4" customHeight="1" outlineLevel="1">
      <c r="A26" s="31" t="s">
        <v>834</v>
      </c>
      <c r="B26" s="31" t="s">
        <v>835</v>
      </c>
      <c r="C26" s="31" t="s">
        <v>836</v>
      </c>
      <c r="D26" s="33" t="s">
        <v>818</v>
      </c>
      <c r="E26" s="33" t="s">
        <v>105</v>
      </c>
      <c r="F26" s="111" t="s">
        <v>37</v>
      </c>
      <c r="G26" s="112" t="s">
        <v>472</v>
      </c>
      <c r="H26" s="111" t="s">
        <v>58</v>
      </c>
      <c r="I26" s="111" t="s">
        <v>37</v>
      </c>
      <c r="J26" s="112" t="s">
        <v>472</v>
      </c>
      <c r="K26" s="111" t="s">
        <v>58</v>
      </c>
      <c r="L26" s="111"/>
      <c r="M26" s="112" t="s">
        <v>51</v>
      </c>
      <c r="N26" s="111"/>
      <c r="O26" s="113" t="s">
        <v>59</v>
      </c>
      <c r="Q26" s="32"/>
    </row>
    <row r="27" spans="1:17" ht="32.4" customHeight="1" outlineLevel="1">
      <c r="A27" s="31" t="s">
        <v>837</v>
      </c>
      <c r="B27" s="31" t="s">
        <v>838</v>
      </c>
      <c r="C27" s="31" t="s">
        <v>836</v>
      </c>
      <c r="D27" s="33" t="s">
        <v>500</v>
      </c>
      <c r="E27" s="33" t="s">
        <v>105</v>
      </c>
      <c r="F27" s="111" t="s">
        <v>37</v>
      </c>
      <c r="G27" s="112" t="s">
        <v>472</v>
      </c>
      <c r="H27" s="111" t="s">
        <v>58</v>
      </c>
      <c r="I27" s="111" t="s">
        <v>37</v>
      </c>
      <c r="J27" s="112" t="s">
        <v>472</v>
      </c>
      <c r="K27" s="111" t="s">
        <v>58</v>
      </c>
      <c r="L27" s="111"/>
      <c r="M27" s="112" t="s">
        <v>51</v>
      </c>
      <c r="N27" s="111"/>
      <c r="O27" s="113" t="s">
        <v>59</v>
      </c>
      <c r="Q27" s="32"/>
    </row>
    <row r="28" spans="1:17" ht="32.4" customHeight="1" outlineLevel="1">
      <c r="A28" s="31" t="s">
        <v>839</v>
      </c>
      <c r="B28" s="31" t="s">
        <v>840</v>
      </c>
      <c r="C28" s="31" t="s">
        <v>836</v>
      </c>
      <c r="D28" s="33" t="s">
        <v>475</v>
      </c>
      <c r="E28" s="33" t="s">
        <v>105</v>
      </c>
      <c r="F28" s="111" t="s">
        <v>37</v>
      </c>
      <c r="G28" s="112" t="s">
        <v>472</v>
      </c>
      <c r="H28" s="111" t="s">
        <v>58</v>
      </c>
      <c r="I28" s="111" t="s">
        <v>37</v>
      </c>
      <c r="J28" s="112" t="s">
        <v>472</v>
      </c>
      <c r="K28" s="111" t="s">
        <v>58</v>
      </c>
      <c r="L28" s="111"/>
      <c r="M28" s="112" t="s">
        <v>51</v>
      </c>
      <c r="N28" s="111"/>
      <c r="O28" s="113" t="s">
        <v>59</v>
      </c>
      <c r="Q28" s="32"/>
    </row>
    <row r="29" spans="1:17" ht="45.6" customHeight="1" outlineLevel="1">
      <c r="A29" s="31" t="s">
        <v>841</v>
      </c>
      <c r="B29" s="31" t="s">
        <v>842</v>
      </c>
      <c r="C29" s="31" t="s">
        <v>843</v>
      </c>
      <c r="D29" s="33" t="s">
        <v>500</v>
      </c>
      <c r="E29" s="33" t="s">
        <v>105</v>
      </c>
      <c r="F29" s="111" t="s">
        <v>37</v>
      </c>
      <c r="G29" s="112" t="s">
        <v>472</v>
      </c>
      <c r="H29" s="111" t="s">
        <v>58</v>
      </c>
      <c r="I29" s="111" t="s">
        <v>37</v>
      </c>
      <c r="J29" s="112" t="s">
        <v>472</v>
      </c>
      <c r="K29" s="111" t="s">
        <v>58</v>
      </c>
      <c r="L29" s="111"/>
      <c r="M29" s="112" t="s">
        <v>51</v>
      </c>
      <c r="N29" s="111"/>
      <c r="O29" s="113" t="s">
        <v>59</v>
      </c>
      <c r="Q29" s="32"/>
    </row>
    <row r="30" spans="1:17" ht="45.6" customHeight="1" outlineLevel="1">
      <c r="A30" s="31" t="s">
        <v>844</v>
      </c>
      <c r="B30" s="31" t="s">
        <v>845</v>
      </c>
      <c r="C30" s="31" t="s">
        <v>843</v>
      </c>
      <c r="D30" s="33" t="s">
        <v>489</v>
      </c>
      <c r="E30" s="33" t="s">
        <v>105</v>
      </c>
      <c r="F30" s="111" t="s">
        <v>37</v>
      </c>
      <c r="G30" s="112" t="s">
        <v>472</v>
      </c>
      <c r="H30" s="111" t="s">
        <v>58</v>
      </c>
      <c r="I30" s="111" t="s">
        <v>37</v>
      </c>
      <c r="J30" s="112" t="s">
        <v>472</v>
      </c>
      <c r="K30" s="111" t="s">
        <v>58</v>
      </c>
      <c r="L30" s="111"/>
      <c r="M30" s="112" t="s">
        <v>51</v>
      </c>
      <c r="N30" s="111"/>
      <c r="O30" s="113" t="s">
        <v>59</v>
      </c>
      <c r="Q30" s="32"/>
    </row>
    <row r="31" spans="1:17" ht="45.6" customHeight="1" outlineLevel="1">
      <c r="A31" s="31" t="s">
        <v>846</v>
      </c>
      <c r="B31" s="31" t="s">
        <v>847</v>
      </c>
      <c r="C31" s="31" t="s">
        <v>848</v>
      </c>
      <c r="D31" s="33" t="s">
        <v>500</v>
      </c>
      <c r="E31" s="33" t="s">
        <v>105</v>
      </c>
      <c r="F31" s="111" t="s">
        <v>37</v>
      </c>
      <c r="G31" s="112" t="s">
        <v>472</v>
      </c>
      <c r="H31" s="111" t="s">
        <v>58</v>
      </c>
      <c r="I31" s="111" t="s">
        <v>37</v>
      </c>
      <c r="J31" s="112" t="s">
        <v>472</v>
      </c>
      <c r="K31" s="111" t="s">
        <v>58</v>
      </c>
      <c r="L31" s="111"/>
      <c r="M31" s="112" t="s">
        <v>51</v>
      </c>
      <c r="N31" s="111"/>
      <c r="O31" s="113" t="s">
        <v>59</v>
      </c>
      <c r="Q31" s="32"/>
    </row>
    <row r="32" spans="1:17" ht="45.6" customHeight="1" outlineLevel="1">
      <c r="A32" s="31" t="s">
        <v>849</v>
      </c>
      <c r="B32" s="31" t="s">
        <v>850</v>
      </c>
      <c r="C32" s="31" t="s">
        <v>848</v>
      </c>
      <c r="D32" s="33" t="s">
        <v>851</v>
      </c>
      <c r="E32" s="33" t="s">
        <v>852</v>
      </c>
      <c r="F32" s="111" t="s">
        <v>37</v>
      </c>
      <c r="G32" s="112" t="s">
        <v>472</v>
      </c>
      <c r="H32" s="111" t="s">
        <v>58</v>
      </c>
      <c r="I32" s="111" t="s">
        <v>37</v>
      </c>
      <c r="J32" s="112" t="s">
        <v>472</v>
      </c>
      <c r="K32" s="111" t="s">
        <v>58</v>
      </c>
      <c r="L32" s="111"/>
      <c r="M32" s="112" t="s">
        <v>51</v>
      </c>
      <c r="N32" s="111"/>
      <c r="O32" s="113" t="s">
        <v>59</v>
      </c>
      <c r="Q32" s="32"/>
    </row>
    <row r="33" spans="1:17" ht="45.6" customHeight="1" outlineLevel="1">
      <c r="A33" s="31" t="s">
        <v>853</v>
      </c>
      <c r="B33" s="31" t="s">
        <v>854</v>
      </c>
      <c r="C33" s="31" t="s">
        <v>855</v>
      </c>
      <c r="D33" s="33" t="s">
        <v>818</v>
      </c>
      <c r="E33" s="33" t="s">
        <v>852</v>
      </c>
      <c r="F33" s="111" t="s">
        <v>37</v>
      </c>
      <c r="G33" s="112" t="s">
        <v>472</v>
      </c>
      <c r="H33" s="111" t="s">
        <v>58</v>
      </c>
      <c r="I33" s="111" t="s">
        <v>37</v>
      </c>
      <c r="J33" s="112" t="s">
        <v>472</v>
      </c>
      <c r="K33" s="111" t="s">
        <v>58</v>
      </c>
      <c r="L33" s="111"/>
      <c r="M33" s="112" t="s">
        <v>51</v>
      </c>
      <c r="N33" s="111"/>
      <c r="O33" s="113" t="s">
        <v>59</v>
      </c>
      <c r="Q33" s="32"/>
    </row>
    <row r="34" spans="1:17" ht="45.6" customHeight="1" outlineLevel="1">
      <c r="A34" s="31" t="s">
        <v>856</v>
      </c>
      <c r="B34" s="31" t="s">
        <v>857</v>
      </c>
      <c r="C34" s="31" t="s">
        <v>855</v>
      </c>
      <c r="D34" s="33" t="s">
        <v>500</v>
      </c>
      <c r="E34" s="33" t="s">
        <v>852</v>
      </c>
      <c r="F34" s="111" t="s">
        <v>37</v>
      </c>
      <c r="G34" s="112" t="s">
        <v>472</v>
      </c>
      <c r="H34" s="111" t="s">
        <v>58</v>
      </c>
      <c r="I34" s="111" t="s">
        <v>37</v>
      </c>
      <c r="J34" s="112" t="s">
        <v>472</v>
      </c>
      <c r="K34" s="111" t="s">
        <v>58</v>
      </c>
      <c r="L34" s="111"/>
      <c r="M34" s="112" t="s">
        <v>51</v>
      </c>
      <c r="N34" s="111"/>
      <c r="O34" s="113" t="s">
        <v>59</v>
      </c>
      <c r="Q34" s="32"/>
    </row>
    <row r="35" spans="1:17" ht="45.6" customHeight="1" outlineLevel="1">
      <c r="A35" s="31" t="s">
        <v>858</v>
      </c>
      <c r="B35" s="31" t="s">
        <v>859</v>
      </c>
      <c r="C35" s="31" t="s">
        <v>855</v>
      </c>
      <c r="D35" s="33" t="s">
        <v>475</v>
      </c>
      <c r="E35" s="33" t="s">
        <v>852</v>
      </c>
      <c r="F35" s="111" t="s">
        <v>37</v>
      </c>
      <c r="G35" s="112" t="s">
        <v>472</v>
      </c>
      <c r="H35" s="111" t="s">
        <v>58</v>
      </c>
      <c r="I35" s="111" t="s">
        <v>37</v>
      </c>
      <c r="J35" s="112" t="s">
        <v>472</v>
      </c>
      <c r="K35" s="111" t="s">
        <v>58</v>
      </c>
      <c r="L35" s="111"/>
      <c r="M35" s="112" t="s">
        <v>51</v>
      </c>
      <c r="N35" s="111"/>
      <c r="O35" s="113" t="s">
        <v>59</v>
      </c>
      <c r="Q35" s="32"/>
    </row>
    <row r="36" spans="1:17" ht="45.6" customHeight="1" outlineLevel="1">
      <c r="A36" s="31" t="s">
        <v>860</v>
      </c>
      <c r="B36" s="31" t="s">
        <v>861</v>
      </c>
      <c r="C36" s="31" t="s">
        <v>855</v>
      </c>
      <c r="D36" s="33" t="s">
        <v>475</v>
      </c>
      <c r="E36" s="33" t="s">
        <v>852</v>
      </c>
      <c r="F36" s="111" t="s">
        <v>37</v>
      </c>
      <c r="G36" s="112" t="s">
        <v>472</v>
      </c>
      <c r="H36" s="111" t="s">
        <v>58</v>
      </c>
      <c r="I36" s="111" t="s">
        <v>37</v>
      </c>
      <c r="J36" s="112" t="s">
        <v>472</v>
      </c>
      <c r="K36" s="111" t="s">
        <v>58</v>
      </c>
      <c r="L36" s="111"/>
      <c r="M36" s="112" t="s">
        <v>51</v>
      </c>
      <c r="N36" s="111"/>
      <c r="O36" s="113" t="s">
        <v>59</v>
      </c>
      <c r="Q36" s="32"/>
    </row>
    <row r="37" spans="1:17" ht="45.6" customHeight="1" outlineLevel="1">
      <c r="A37" s="31" t="s">
        <v>862</v>
      </c>
      <c r="B37" s="31" t="s">
        <v>863</v>
      </c>
      <c r="C37" s="31" t="s">
        <v>855</v>
      </c>
      <c r="D37" s="33" t="s">
        <v>500</v>
      </c>
      <c r="E37" s="33" t="s">
        <v>852</v>
      </c>
      <c r="F37" s="111" t="s">
        <v>37</v>
      </c>
      <c r="G37" s="112" t="s">
        <v>472</v>
      </c>
      <c r="H37" s="111" t="s">
        <v>58</v>
      </c>
      <c r="I37" s="111" t="s">
        <v>37</v>
      </c>
      <c r="J37" s="112" t="s">
        <v>472</v>
      </c>
      <c r="K37" s="111" t="s">
        <v>58</v>
      </c>
      <c r="L37" s="111"/>
      <c r="M37" s="112" t="s">
        <v>51</v>
      </c>
      <c r="N37" s="111"/>
      <c r="O37" s="113" t="s">
        <v>59</v>
      </c>
      <c r="Q37" s="32"/>
    </row>
    <row r="38" spans="1:17" ht="45.6" customHeight="1" outlineLevel="1">
      <c r="A38" s="31" t="s">
        <v>864</v>
      </c>
      <c r="B38" s="31" t="s">
        <v>865</v>
      </c>
      <c r="C38" s="31" t="s">
        <v>866</v>
      </c>
      <c r="D38" s="33" t="s">
        <v>489</v>
      </c>
      <c r="E38" s="33" t="s">
        <v>852</v>
      </c>
      <c r="F38" s="111" t="s">
        <v>37</v>
      </c>
      <c r="G38" s="112" t="s">
        <v>472</v>
      </c>
      <c r="H38" s="111" t="s">
        <v>58</v>
      </c>
      <c r="I38" s="111" t="s">
        <v>37</v>
      </c>
      <c r="J38" s="112" t="s">
        <v>472</v>
      </c>
      <c r="K38" s="111" t="s">
        <v>58</v>
      </c>
      <c r="L38" s="111"/>
      <c r="M38" s="112" t="s">
        <v>51</v>
      </c>
      <c r="N38" s="111"/>
      <c r="O38" s="113" t="s">
        <v>59</v>
      </c>
      <c r="Q38" s="32"/>
    </row>
  </sheetData>
  <mergeCells count="3">
    <mergeCell ref="B2:E2"/>
    <mergeCell ref="B3:E3"/>
    <mergeCell ref="B4:E4"/>
  </mergeCells>
  <dataValidations count="3">
    <dataValidation allowBlank="1" showErrorMessage="1" sqref="F10 I10 L10" xr:uid="{B749A238-BE53-4A5A-843C-39CDD048AF67}"/>
    <dataValidation type="list" allowBlank="1" showErrorMessage="1" sqref="G2:G3 G9 G39:G166 J2:J3 J9 J39:J166 M2:M3 M9 M39:M166" xr:uid="{7491D4A8-59E8-4695-BEF7-AE2BBC31DEE2}">
      <formula1>$R$2:$R$5</formula1>
      <formula2>0</formula2>
    </dataValidation>
    <dataValidation type="list" allowBlank="1" showInputMessage="1" showErrorMessage="1" sqref="F11:F38 I11:I38 L11:L38" xr:uid="{EB603904-9B24-4EB9-9036-428B13B6B5A4}">
      <formula1>$R$2:$R$5</formula1>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28C0C-8914-42EC-9BF1-BC36C66C778D}">
  <sheetPr>
    <outlinePr summaryBelow="0" summaryRight="0"/>
  </sheetPr>
  <dimension ref="A1:R40"/>
  <sheetViews>
    <sheetView zoomScale="85" zoomScaleNormal="85" workbookViewId="0">
      <pane ySplit="10" topLeftCell="A11" activePane="bottomLeft" state="frozen"/>
      <selection pane="bottomLeft"/>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14.77734375" style="1" customWidth="1" outlineLevel="1"/>
    <col min="9" max="9" width="9.33203125" style="1" customWidth="1"/>
    <col min="10" max="10" width="10.6640625" style="1" customWidth="1" outlineLevel="1"/>
    <col min="11" max="11" width="14.77734375" style="1" customWidth="1" outlineLevel="1"/>
    <col min="12" max="12" width="9.33203125" style="1" customWidth="1"/>
    <col min="13" max="13" width="10.6640625" style="1" customWidth="1" outlineLevel="1"/>
    <col min="14" max="14" width="14.77734375" style="1" customWidth="1" outlineLevel="1"/>
    <col min="15" max="15" width="28.6640625" style="1" customWidth="1"/>
    <col min="16" max="16" width="10.109375" style="1" customWidth="1"/>
    <col min="17" max="17" width="8.109375" style="23" customWidth="1"/>
    <col min="18" max="18" width="7.6640625" style="1" hidden="1" customWidth="1"/>
    <col min="19" max="16384" width="9" style="1"/>
  </cols>
  <sheetData>
    <row r="1" spans="1:18" ht="13.8" thickBot="1"/>
    <row r="2" spans="1:18" s="25" customFormat="1" ht="15" customHeight="1">
      <c r="A2" s="77" t="s">
        <v>35</v>
      </c>
      <c r="B2" s="105" t="s">
        <v>867</v>
      </c>
      <c r="C2" s="105"/>
      <c r="D2" s="105"/>
      <c r="E2" s="106"/>
      <c r="F2" s="67"/>
      <c r="G2" s="61"/>
      <c r="H2" s="9"/>
      <c r="I2" s="67"/>
      <c r="J2" s="61"/>
      <c r="K2" s="9"/>
      <c r="L2" s="67"/>
      <c r="M2" s="61"/>
      <c r="N2" s="9"/>
      <c r="O2" s="9"/>
      <c r="P2" s="9"/>
      <c r="Q2" s="24"/>
      <c r="R2" s="25" t="s">
        <v>37</v>
      </c>
    </row>
    <row r="3" spans="1:18" s="25" customFormat="1" ht="28.05" customHeight="1">
      <c r="A3" s="78" t="s">
        <v>20</v>
      </c>
      <c r="B3" s="107" t="s">
        <v>868</v>
      </c>
      <c r="C3" s="107"/>
      <c r="D3" s="107"/>
      <c r="E3" s="108"/>
      <c r="F3" s="67"/>
      <c r="G3" s="61"/>
      <c r="H3" s="9"/>
      <c r="I3" s="67"/>
      <c r="J3" s="61"/>
      <c r="K3" s="9"/>
      <c r="L3" s="67"/>
      <c r="M3" s="61"/>
      <c r="N3" s="9"/>
      <c r="O3" s="9"/>
      <c r="P3" s="9"/>
      <c r="Q3" s="24"/>
      <c r="R3" s="25" t="s">
        <v>38</v>
      </c>
    </row>
    <row r="4" spans="1:18" s="25" customFormat="1" ht="18" customHeight="1">
      <c r="A4" s="78" t="s">
        <v>45</v>
      </c>
      <c r="B4" s="107">
        <f>COUNTA(B11:B2021)</f>
        <v>30</v>
      </c>
      <c r="C4" s="107"/>
      <c r="D4" s="107"/>
      <c r="E4" s="108"/>
      <c r="F4" s="67"/>
      <c r="G4" s="61"/>
      <c r="H4" s="9"/>
      <c r="I4" s="67"/>
      <c r="J4" s="61"/>
      <c r="K4" s="9"/>
      <c r="L4" s="67"/>
      <c r="M4" s="61"/>
      <c r="N4" s="9"/>
      <c r="O4" s="9"/>
      <c r="P4" s="9"/>
      <c r="Q4" s="24"/>
      <c r="R4" s="25" t="s">
        <v>36</v>
      </c>
    </row>
    <row r="5" spans="1:18" s="25" customFormat="1" ht="19.5" customHeight="1">
      <c r="A5" s="71" t="s">
        <v>39</v>
      </c>
      <c r="B5" s="69" t="s">
        <v>37</v>
      </c>
      <c r="C5" s="69" t="s">
        <v>38</v>
      </c>
      <c r="D5" s="69" t="s">
        <v>36</v>
      </c>
      <c r="E5" s="72" t="s">
        <v>22</v>
      </c>
      <c r="F5" s="62"/>
      <c r="G5" s="62"/>
      <c r="H5" s="26"/>
      <c r="I5" s="62"/>
      <c r="J5" s="62"/>
      <c r="K5" s="26"/>
      <c r="L5" s="62"/>
      <c r="M5" s="62"/>
      <c r="N5" s="26"/>
      <c r="O5" s="26"/>
      <c r="P5" s="26"/>
      <c r="Q5" s="27"/>
      <c r="R5" s="25" t="s">
        <v>22</v>
      </c>
    </row>
    <row r="6" spans="1:18" s="25" customFormat="1" ht="15" customHeight="1">
      <c r="A6" s="71" t="s">
        <v>40</v>
      </c>
      <c r="B6" s="70">
        <f>COUNTIF($F$11:$F$2021,B$5)</f>
        <v>30</v>
      </c>
      <c r="C6" s="70">
        <f>COUNTIF($F$11:$F$2021,C$5)</f>
        <v>0</v>
      </c>
      <c r="D6" s="70">
        <f>COUNTIF($F$11:$F$2021,D$5)</f>
        <v>0</v>
      </c>
      <c r="E6" s="76">
        <f>COUNTIF($F$11:$F$2021,E$5)</f>
        <v>0</v>
      </c>
      <c r="F6" s="63"/>
      <c r="G6" s="63"/>
      <c r="H6" s="26"/>
      <c r="I6" s="63"/>
      <c r="J6" s="63"/>
      <c r="K6" s="26"/>
      <c r="L6" s="63"/>
      <c r="M6" s="63"/>
      <c r="N6" s="26"/>
      <c r="O6" s="26"/>
      <c r="P6" s="26"/>
      <c r="Q6" s="27"/>
    </row>
    <row r="7" spans="1:18" s="25" customFormat="1" ht="15" customHeight="1">
      <c r="A7" s="71" t="s">
        <v>42</v>
      </c>
      <c r="B7" s="70">
        <f>COUNTIF($I$11:$I$2021,B$5)</f>
        <v>30</v>
      </c>
      <c r="C7" s="70">
        <f>COUNTIF($I$11:$I$2021,C$5)</f>
        <v>0</v>
      </c>
      <c r="D7" s="70">
        <f>COUNTIF($I$11:$I$2021,D$5)</f>
        <v>0</v>
      </c>
      <c r="E7" s="76">
        <f>COUNTIF($I$11:$I$2021,E$5)</f>
        <v>0</v>
      </c>
      <c r="F7" s="63"/>
      <c r="G7" s="63"/>
      <c r="H7" s="26"/>
      <c r="I7" s="63"/>
      <c r="J7" s="63"/>
      <c r="K7" s="26"/>
      <c r="L7" s="63"/>
      <c r="M7" s="63"/>
      <c r="N7" s="26"/>
      <c r="O7" s="26"/>
      <c r="P7" s="26"/>
      <c r="Q7" s="27"/>
    </row>
    <row r="8" spans="1:18" s="25" customFormat="1" ht="15" customHeight="1" thickBot="1">
      <c r="A8" s="73" t="s">
        <v>43</v>
      </c>
      <c r="B8" s="74">
        <f>COUNTIF($L$11:$L$2021,B$5)</f>
        <v>0</v>
      </c>
      <c r="C8" s="74">
        <f>COUNTIF($L$11:$L$2021,C$5)</f>
        <v>0</v>
      </c>
      <c r="D8" s="74">
        <f>COUNTIF($L$11:$L$2021,D$5)</f>
        <v>0</v>
      </c>
      <c r="E8" s="75">
        <f>COUNTIF($L$11:$L$2021,E$5)</f>
        <v>0</v>
      </c>
      <c r="F8" s="63"/>
      <c r="G8" s="63"/>
      <c r="H8" s="26"/>
      <c r="I8" s="63"/>
      <c r="J8" s="63"/>
      <c r="K8" s="26"/>
      <c r="L8" s="63"/>
      <c r="M8" s="63"/>
      <c r="N8" s="26"/>
      <c r="O8" s="26"/>
      <c r="P8" s="26"/>
      <c r="Q8" s="27"/>
    </row>
    <row r="9" spans="1:18" s="25" customFormat="1" ht="15" customHeight="1">
      <c r="A9" s="26"/>
      <c r="B9" s="26"/>
      <c r="C9" s="26"/>
      <c r="D9" s="26"/>
      <c r="E9" s="26"/>
      <c r="F9" s="28"/>
      <c r="G9" s="26"/>
      <c r="H9" s="26"/>
      <c r="I9" s="28"/>
      <c r="J9" s="26"/>
      <c r="K9" s="26"/>
      <c r="L9" s="28"/>
      <c r="M9" s="26"/>
      <c r="N9" s="26"/>
      <c r="O9" s="26"/>
      <c r="P9" s="26"/>
      <c r="Q9" s="27"/>
    </row>
    <row r="10" spans="1:18" s="25" customFormat="1" ht="25.5" customHeight="1">
      <c r="A10" s="68" t="s">
        <v>44</v>
      </c>
      <c r="B10" s="68" t="s">
        <v>23</v>
      </c>
      <c r="C10" s="68" t="s">
        <v>34</v>
      </c>
      <c r="D10" s="68" t="s">
        <v>33</v>
      </c>
      <c r="E10" s="68" t="s">
        <v>41</v>
      </c>
      <c r="F10" s="68" t="s">
        <v>40</v>
      </c>
      <c r="G10" s="68" t="s">
        <v>24</v>
      </c>
      <c r="H10" s="68" t="s">
        <v>21</v>
      </c>
      <c r="I10" s="68" t="s">
        <v>42</v>
      </c>
      <c r="J10" s="68" t="s">
        <v>24</v>
      </c>
      <c r="K10" s="68" t="s">
        <v>21</v>
      </c>
      <c r="L10" s="68" t="s">
        <v>43</v>
      </c>
      <c r="M10" s="68" t="s">
        <v>24</v>
      </c>
      <c r="N10" s="68" t="s">
        <v>21</v>
      </c>
      <c r="O10" s="68" t="s">
        <v>25</v>
      </c>
      <c r="Q10" s="29"/>
    </row>
    <row r="11" spans="1:18" ht="32.4" customHeight="1" outlineLevel="1">
      <c r="A11" s="31" t="s">
        <v>869</v>
      </c>
      <c r="B11" s="31" t="s">
        <v>870</v>
      </c>
      <c r="C11" s="31" t="s">
        <v>871</v>
      </c>
      <c r="D11" s="33" t="s">
        <v>872</v>
      </c>
      <c r="E11" s="33" t="s">
        <v>632</v>
      </c>
      <c r="F11" s="111" t="s">
        <v>37</v>
      </c>
      <c r="G11" s="112" t="s">
        <v>472</v>
      </c>
      <c r="H11" s="111" t="s">
        <v>58</v>
      </c>
      <c r="I11" s="111" t="s">
        <v>37</v>
      </c>
      <c r="J11" s="112" t="s">
        <v>472</v>
      </c>
      <c r="K11" s="111" t="s">
        <v>58</v>
      </c>
      <c r="L11" s="111"/>
      <c r="M11" s="112" t="s">
        <v>51</v>
      </c>
      <c r="N11" s="111"/>
      <c r="O11" s="113" t="s">
        <v>59</v>
      </c>
      <c r="Q11" s="32"/>
    </row>
    <row r="12" spans="1:18" ht="32.4" customHeight="1" outlineLevel="1">
      <c r="A12" s="31" t="s">
        <v>873</v>
      </c>
      <c r="B12" s="31" t="s">
        <v>874</v>
      </c>
      <c r="C12" s="31" t="s">
        <v>871</v>
      </c>
      <c r="D12" s="33" t="s">
        <v>509</v>
      </c>
      <c r="E12" s="33" t="s">
        <v>632</v>
      </c>
      <c r="F12" s="111" t="s">
        <v>37</v>
      </c>
      <c r="G12" s="112" t="s">
        <v>472</v>
      </c>
      <c r="H12" s="111" t="s">
        <v>58</v>
      </c>
      <c r="I12" s="111" t="s">
        <v>37</v>
      </c>
      <c r="J12" s="112" t="s">
        <v>472</v>
      </c>
      <c r="K12" s="111" t="s">
        <v>58</v>
      </c>
      <c r="L12" s="111"/>
      <c r="M12" s="112" t="s">
        <v>51</v>
      </c>
      <c r="N12" s="111"/>
      <c r="O12" s="113" t="s">
        <v>59</v>
      </c>
      <c r="Q12" s="32"/>
    </row>
    <row r="13" spans="1:18" ht="32.4" customHeight="1" outlineLevel="1">
      <c r="A13" s="31" t="s">
        <v>875</v>
      </c>
      <c r="B13" s="31" t="s">
        <v>876</v>
      </c>
      <c r="C13" s="31" t="s">
        <v>871</v>
      </c>
      <c r="D13" s="33" t="s">
        <v>475</v>
      </c>
      <c r="E13" s="33" t="s">
        <v>632</v>
      </c>
      <c r="F13" s="111" t="s">
        <v>37</v>
      </c>
      <c r="G13" s="112" t="s">
        <v>472</v>
      </c>
      <c r="H13" s="111" t="s">
        <v>58</v>
      </c>
      <c r="I13" s="111" t="s">
        <v>37</v>
      </c>
      <c r="J13" s="112" t="s">
        <v>472</v>
      </c>
      <c r="K13" s="111" t="s">
        <v>58</v>
      </c>
      <c r="L13" s="111"/>
      <c r="M13" s="112" t="s">
        <v>51</v>
      </c>
      <c r="N13" s="111"/>
      <c r="O13" s="113" t="s">
        <v>59</v>
      </c>
      <c r="Q13" s="32"/>
    </row>
    <row r="14" spans="1:18" ht="32.4" customHeight="1" outlineLevel="1">
      <c r="A14" s="31" t="s">
        <v>877</v>
      </c>
      <c r="B14" s="31" t="s">
        <v>878</v>
      </c>
      <c r="C14" s="31" t="s">
        <v>871</v>
      </c>
      <c r="D14" s="33" t="s">
        <v>475</v>
      </c>
      <c r="E14" s="33" t="s">
        <v>632</v>
      </c>
      <c r="F14" s="111" t="s">
        <v>37</v>
      </c>
      <c r="G14" s="112" t="s">
        <v>472</v>
      </c>
      <c r="H14" s="111" t="s">
        <v>58</v>
      </c>
      <c r="I14" s="111" t="s">
        <v>37</v>
      </c>
      <c r="J14" s="112" t="s">
        <v>472</v>
      </c>
      <c r="K14" s="111" t="s">
        <v>58</v>
      </c>
      <c r="L14" s="111"/>
      <c r="M14" s="112" t="s">
        <v>51</v>
      </c>
      <c r="N14" s="111"/>
      <c r="O14" s="113" t="s">
        <v>59</v>
      </c>
      <c r="Q14" s="32"/>
    </row>
    <row r="15" spans="1:18" ht="32.4" customHeight="1" outlineLevel="1">
      <c r="A15" s="31" t="s">
        <v>879</v>
      </c>
      <c r="B15" s="31" t="s">
        <v>880</v>
      </c>
      <c r="C15" s="31" t="s">
        <v>871</v>
      </c>
      <c r="D15" s="33" t="s">
        <v>475</v>
      </c>
      <c r="E15" s="33" t="s">
        <v>632</v>
      </c>
      <c r="F15" s="111" t="s">
        <v>37</v>
      </c>
      <c r="G15" s="112" t="s">
        <v>472</v>
      </c>
      <c r="H15" s="111" t="s">
        <v>58</v>
      </c>
      <c r="I15" s="111" t="s">
        <v>37</v>
      </c>
      <c r="J15" s="112" t="s">
        <v>472</v>
      </c>
      <c r="K15" s="111" t="s">
        <v>58</v>
      </c>
      <c r="L15" s="111"/>
      <c r="M15" s="112" t="s">
        <v>51</v>
      </c>
      <c r="N15" s="111"/>
      <c r="O15" s="113" t="s">
        <v>59</v>
      </c>
      <c r="Q15" s="32"/>
    </row>
    <row r="16" spans="1:18" ht="32.4" customHeight="1" outlineLevel="1">
      <c r="A16" s="31" t="s">
        <v>881</v>
      </c>
      <c r="B16" s="31" t="s">
        <v>882</v>
      </c>
      <c r="C16" s="31" t="s">
        <v>871</v>
      </c>
      <c r="D16" s="33" t="s">
        <v>475</v>
      </c>
      <c r="E16" s="33" t="s">
        <v>632</v>
      </c>
      <c r="F16" s="111" t="s">
        <v>37</v>
      </c>
      <c r="G16" s="112" t="s">
        <v>472</v>
      </c>
      <c r="H16" s="111" t="s">
        <v>58</v>
      </c>
      <c r="I16" s="111" t="s">
        <v>37</v>
      </c>
      <c r="J16" s="112" t="s">
        <v>472</v>
      </c>
      <c r="K16" s="111" t="s">
        <v>58</v>
      </c>
      <c r="L16" s="111"/>
      <c r="M16" s="112" t="s">
        <v>51</v>
      </c>
      <c r="N16" s="111"/>
      <c r="O16" s="113" t="s">
        <v>59</v>
      </c>
      <c r="Q16" s="32"/>
    </row>
    <row r="17" spans="1:17" ht="32.4" customHeight="1" outlineLevel="1">
      <c r="A17" s="31" t="s">
        <v>883</v>
      </c>
      <c r="B17" s="31" t="s">
        <v>884</v>
      </c>
      <c r="C17" s="31" t="s">
        <v>885</v>
      </c>
      <c r="D17" s="33" t="s">
        <v>886</v>
      </c>
      <c r="E17" s="33" t="s">
        <v>887</v>
      </c>
      <c r="F17" s="111" t="s">
        <v>37</v>
      </c>
      <c r="G17" s="112" t="s">
        <v>472</v>
      </c>
      <c r="H17" s="111" t="s">
        <v>58</v>
      </c>
      <c r="I17" s="111" t="s">
        <v>37</v>
      </c>
      <c r="J17" s="112" t="s">
        <v>472</v>
      </c>
      <c r="K17" s="111" t="s">
        <v>58</v>
      </c>
      <c r="L17" s="111"/>
      <c r="M17" s="112" t="s">
        <v>51</v>
      </c>
      <c r="N17" s="111"/>
      <c r="O17" s="113" t="s">
        <v>59</v>
      </c>
      <c r="Q17" s="32"/>
    </row>
    <row r="18" spans="1:17" ht="32.4" customHeight="1" outlineLevel="1">
      <c r="A18" s="31" t="s">
        <v>888</v>
      </c>
      <c r="B18" s="31" t="s">
        <v>889</v>
      </c>
      <c r="C18" s="31" t="s">
        <v>890</v>
      </c>
      <c r="D18" s="33" t="s">
        <v>489</v>
      </c>
      <c r="E18" s="33" t="s">
        <v>887</v>
      </c>
      <c r="F18" s="111" t="s">
        <v>37</v>
      </c>
      <c r="G18" s="112" t="s">
        <v>472</v>
      </c>
      <c r="H18" s="111" t="s">
        <v>58</v>
      </c>
      <c r="I18" s="111" t="s">
        <v>37</v>
      </c>
      <c r="J18" s="112" t="s">
        <v>472</v>
      </c>
      <c r="K18" s="111" t="s">
        <v>58</v>
      </c>
      <c r="L18" s="111"/>
      <c r="M18" s="112" t="s">
        <v>51</v>
      </c>
      <c r="N18" s="111"/>
      <c r="O18" s="113" t="s">
        <v>59</v>
      </c>
      <c r="Q18" s="32"/>
    </row>
    <row r="19" spans="1:17" ht="32.4" customHeight="1" outlineLevel="1">
      <c r="A19" s="31" t="s">
        <v>891</v>
      </c>
      <c r="B19" s="31" t="s">
        <v>892</v>
      </c>
      <c r="C19" s="31" t="s">
        <v>885</v>
      </c>
      <c r="D19" s="33" t="s">
        <v>489</v>
      </c>
      <c r="E19" s="33" t="s">
        <v>887</v>
      </c>
      <c r="F19" s="111" t="s">
        <v>37</v>
      </c>
      <c r="G19" s="112" t="s">
        <v>472</v>
      </c>
      <c r="H19" s="111" t="s">
        <v>58</v>
      </c>
      <c r="I19" s="111" t="s">
        <v>37</v>
      </c>
      <c r="J19" s="112" t="s">
        <v>472</v>
      </c>
      <c r="K19" s="111" t="s">
        <v>58</v>
      </c>
      <c r="L19" s="111"/>
      <c r="M19" s="112" t="s">
        <v>51</v>
      </c>
      <c r="N19" s="111"/>
      <c r="O19" s="113" t="s">
        <v>59</v>
      </c>
      <c r="Q19" s="32"/>
    </row>
    <row r="20" spans="1:17" ht="32.4" customHeight="1" outlineLevel="1">
      <c r="A20" s="31" t="s">
        <v>893</v>
      </c>
      <c r="B20" s="31" t="s">
        <v>894</v>
      </c>
      <c r="C20" s="31" t="s">
        <v>895</v>
      </c>
      <c r="D20" s="33" t="s">
        <v>500</v>
      </c>
      <c r="E20" s="33" t="s">
        <v>887</v>
      </c>
      <c r="F20" s="111" t="s">
        <v>37</v>
      </c>
      <c r="G20" s="112" t="s">
        <v>472</v>
      </c>
      <c r="H20" s="111" t="s">
        <v>58</v>
      </c>
      <c r="I20" s="111" t="s">
        <v>37</v>
      </c>
      <c r="J20" s="112" t="s">
        <v>472</v>
      </c>
      <c r="K20" s="111" t="s">
        <v>58</v>
      </c>
      <c r="L20" s="111"/>
      <c r="M20" s="112" t="s">
        <v>51</v>
      </c>
      <c r="N20" s="111"/>
      <c r="O20" s="113" t="s">
        <v>59</v>
      </c>
      <c r="Q20" s="32"/>
    </row>
    <row r="21" spans="1:17" ht="32.4" customHeight="1" outlineLevel="1">
      <c r="A21" s="31" t="s">
        <v>896</v>
      </c>
      <c r="B21" s="31" t="s">
        <v>897</v>
      </c>
      <c r="C21" s="31" t="s">
        <v>898</v>
      </c>
      <c r="D21" s="33" t="s">
        <v>500</v>
      </c>
      <c r="E21" s="33" t="s">
        <v>887</v>
      </c>
      <c r="F21" s="111" t="s">
        <v>37</v>
      </c>
      <c r="G21" s="112" t="s">
        <v>472</v>
      </c>
      <c r="H21" s="111" t="s">
        <v>58</v>
      </c>
      <c r="I21" s="111" t="s">
        <v>37</v>
      </c>
      <c r="J21" s="112" t="s">
        <v>472</v>
      </c>
      <c r="K21" s="111" t="s">
        <v>58</v>
      </c>
      <c r="L21" s="111"/>
      <c r="M21" s="112" t="s">
        <v>51</v>
      </c>
      <c r="N21" s="111"/>
      <c r="O21" s="113" t="s">
        <v>59</v>
      </c>
      <c r="Q21" s="32"/>
    </row>
    <row r="22" spans="1:17" ht="32.4" customHeight="1" outlineLevel="1">
      <c r="A22" s="31" t="s">
        <v>899</v>
      </c>
      <c r="B22" s="31" t="s">
        <v>900</v>
      </c>
      <c r="C22" s="31" t="s">
        <v>898</v>
      </c>
      <c r="D22" s="33" t="s">
        <v>489</v>
      </c>
      <c r="E22" s="33" t="s">
        <v>632</v>
      </c>
      <c r="F22" s="111" t="s">
        <v>37</v>
      </c>
      <c r="G22" s="112" t="s">
        <v>472</v>
      </c>
      <c r="H22" s="111" t="s">
        <v>58</v>
      </c>
      <c r="I22" s="111" t="s">
        <v>37</v>
      </c>
      <c r="J22" s="112" t="s">
        <v>472</v>
      </c>
      <c r="K22" s="111" t="s">
        <v>58</v>
      </c>
      <c r="L22" s="111"/>
      <c r="M22" s="112" t="s">
        <v>51</v>
      </c>
      <c r="N22" s="111"/>
      <c r="O22" s="113" t="s">
        <v>59</v>
      </c>
      <c r="Q22" s="32"/>
    </row>
    <row r="23" spans="1:17" ht="32.4" customHeight="1" outlineLevel="1">
      <c r="A23" s="31" t="s">
        <v>901</v>
      </c>
      <c r="B23" s="31" t="s">
        <v>902</v>
      </c>
      <c r="C23" s="31" t="s">
        <v>903</v>
      </c>
      <c r="D23" s="33" t="s">
        <v>828</v>
      </c>
      <c r="E23" s="33" t="s">
        <v>887</v>
      </c>
      <c r="F23" s="111" t="s">
        <v>37</v>
      </c>
      <c r="G23" s="112" t="s">
        <v>472</v>
      </c>
      <c r="H23" s="111" t="s">
        <v>58</v>
      </c>
      <c r="I23" s="111" t="s">
        <v>37</v>
      </c>
      <c r="J23" s="112" t="s">
        <v>472</v>
      </c>
      <c r="K23" s="111" t="s">
        <v>58</v>
      </c>
      <c r="L23" s="111"/>
      <c r="M23" s="112" t="s">
        <v>51</v>
      </c>
      <c r="N23" s="111"/>
      <c r="O23" s="113" t="s">
        <v>59</v>
      </c>
      <c r="Q23" s="32"/>
    </row>
    <row r="24" spans="1:17" ht="32.4" customHeight="1" outlineLevel="1">
      <c r="A24" s="31" t="s">
        <v>904</v>
      </c>
      <c r="B24" s="31" t="s">
        <v>905</v>
      </c>
      <c r="C24" s="31" t="s">
        <v>871</v>
      </c>
      <c r="D24" s="33" t="s">
        <v>906</v>
      </c>
      <c r="E24" s="33" t="s">
        <v>632</v>
      </c>
      <c r="F24" s="111" t="s">
        <v>37</v>
      </c>
      <c r="G24" s="112" t="s">
        <v>472</v>
      </c>
      <c r="H24" s="111" t="s">
        <v>58</v>
      </c>
      <c r="I24" s="111" t="s">
        <v>37</v>
      </c>
      <c r="J24" s="112" t="s">
        <v>472</v>
      </c>
      <c r="K24" s="111" t="s">
        <v>58</v>
      </c>
      <c r="L24" s="111"/>
      <c r="M24" s="112" t="s">
        <v>51</v>
      </c>
      <c r="N24" s="111"/>
      <c r="O24" s="113" t="s">
        <v>59</v>
      </c>
      <c r="Q24" s="32"/>
    </row>
    <row r="25" spans="1:17" ht="32.4" customHeight="1" outlineLevel="1">
      <c r="A25" s="31" t="s">
        <v>907</v>
      </c>
      <c r="B25" s="31" t="s">
        <v>908</v>
      </c>
      <c r="C25" s="31" t="s">
        <v>871</v>
      </c>
      <c r="D25" s="33" t="s">
        <v>509</v>
      </c>
      <c r="E25" s="33" t="s">
        <v>632</v>
      </c>
      <c r="F25" s="111" t="s">
        <v>37</v>
      </c>
      <c r="G25" s="112" t="s">
        <v>472</v>
      </c>
      <c r="H25" s="111" t="s">
        <v>58</v>
      </c>
      <c r="I25" s="111" t="s">
        <v>37</v>
      </c>
      <c r="J25" s="112" t="s">
        <v>472</v>
      </c>
      <c r="K25" s="111" t="s">
        <v>58</v>
      </c>
      <c r="L25" s="111"/>
      <c r="M25" s="112" t="s">
        <v>51</v>
      </c>
      <c r="N25" s="111"/>
      <c r="O25" s="113" t="s">
        <v>59</v>
      </c>
      <c r="Q25" s="32"/>
    </row>
    <row r="26" spans="1:17" ht="32.4" customHeight="1" outlineLevel="1">
      <c r="A26" s="31" t="s">
        <v>909</v>
      </c>
      <c r="B26" s="31" t="s">
        <v>910</v>
      </c>
      <c r="C26" s="31" t="s">
        <v>871</v>
      </c>
      <c r="D26" s="33" t="s">
        <v>509</v>
      </c>
      <c r="E26" s="33" t="s">
        <v>632</v>
      </c>
      <c r="F26" s="111" t="s">
        <v>37</v>
      </c>
      <c r="G26" s="112" t="s">
        <v>472</v>
      </c>
      <c r="H26" s="111" t="s">
        <v>58</v>
      </c>
      <c r="I26" s="111" t="s">
        <v>37</v>
      </c>
      <c r="J26" s="112" t="s">
        <v>472</v>
      </c>
      <c r="K26" s="111" t="s">
        <v>58</v>
      </c>
      <c r="L26" s="111"/>
      <c r="M26" s="112" t="s">
        <v>51</v>
      </c>
      <c r="N26" s="111"/>
      <c r="O26" s="113" t="s">
        <v>59</v>
      </c>
      <c r="Q26" s="32"/>
    </row>
    <row r="27" spans="1:17" ht="32.4" customHeight="1" outlineLevel="1">
      <c r="A27" s="31" t="s">
        <v>911</v>
      </c>
      <c r="B27" s="31" t="s">
        <v>912</v>
      </c>
      <c r="C27" s="31" t="s">
        <v>913</v>
      </c>
      <c r="D27" s="33" t="s">
        <v>500</v>
      </c>
      <c r="E27" s="33" t="s">
        <v>632</v>
      </c>
      <c r="F27" s="111" t="s">
        <v>37</v>
      </c>
      <c r="G27" s="112" t="s">
        <v>472</v>
      </c>
      <c r="H27" s="111" t="s">
        <v>58</v>
      </c>
      <c r="I27" s="111" t="s">
        <v>37</v>
      </c>
      <c r="J27" s="112" t="s">
        <v>472</v>
      </c>
      <c r="K27" s="111" t="s">
        <v>58</v>
      </c>
      <c r="L27" s="111"/>
      <c r="M27" s="112" t="s">
        <v>51</v>
      </c>
      <c r="N27" s="111"/>
      <c r="O27" s="113" t="s">
        <v>59</v>
      </c>
      <c r="Q27" s="32"/>
    </row>
    <row r="28" spans="1:17" ht="45.6" customHeight="1" outlineLevel="1">
      <c r="A28" s="31" t="s">
        <v>914</v>
      </c>
      <c r="B28" s="31" t="s">
        <v>915</v>
      </c>
      <c r="C28" s="31" t="s">
        <v>916</v>
      </c>
      <c r="D28" s="33" t="s">
        <v>500</v>
      </c>
      <c r="E28" s="33" t="s">
        <v>887</v>
      </c>
      <c r="F28" s="111" t="s">
        <v>37</v>
      </c>
      <c r="G28" s="112" t="s">
        <v>472</v>
      </c>
      <c r="H28" s="111" t="s">
        <v>58</v>
      </c>
      <c r="I28" s="111" t="s">
        <v>37</v>
      </c>
      <c r="J28" s="112" t="s">
        <v>472</v>
      </c>
      <c r="K28" s="111" t="s">
        <v>58</v>
      </c>
      <c r="L28" s="111"/>
      <c r="M28" s="112" t="s">
        <v>51</v>
      </c>
      <c r="N28" s="111"/>
      <c r="O28" s="113" t="s">
        <v>59</v>
      </c>
      <c r="Q28" s="32"/>
    </row>
    <row r="29" spans="1:17" ht="45.6" customHeight="1" outlineLevel="1">
      <c r="A29" s="31" t="s">
        <v>917</v>
      </c>
      <c r="B29" s="31" t="s">
        <v>918</v>
      </c>
      <c r="C29" s="31" t="s">
        <v>916</v>
      </c>
      <c r="D29" s="33" t="s">
        <v>778</v>
      </c>
      <c r="E29" s="33" t="s">
        <v>887</v>
      </c>
      <c r="F29" s="111" t="s">
        <v>37</v>
      </c>
      <c r="G29" s="112" t="s">
        <v>472</v>
      </c>
      <c r="H29" s="111" t="s">
        <v>58</v>
      </c>
      <c r="I29" s="111" t="s">
        <v>37</v>
      </c>
      <c r="J29" s="112" t="s">
        <v>472</v>
      </c>
      <c r="K29" s="111" t="s">
        <v>58</v>
      </c>
      <c r="L29" s="111"/>
      <c r="M29" s="112" t="s">
        <v>51</v>
      </c>
      <c r="N29" s="111"/>
      <c r="O29" s="113" t="s">
        <v>59</v>
      </c>
      <c r="Q29" s="32"/>
    </row>
    <row r="30" spans="1:17" ht="45.6" customHeight="1" outlineLevel="1">
      <c r="A30" s="31" t="s">
        <v>919</v>
      </c>
      <c r="B30" s="31" t="s">
        <v>920</v>
      </c>
      <c r="C30" s="31" t="s">
        <v>916</v>
      </c>
      <c r="D30" s="33" t="s">
        <v>489</v>
      </c>
      <c r="E30" s="33" t="s">
        <v>887</v>
      </c>
      <c r="F30" s="111" t="s">
        <v>37</v>
      </c>
      <c r="G30" s="112" t="s">
        <v>472</v>
      </c>
      <c r="H30" s="111" t="s">
        <v>58</v>
      </c>
      <c r="I30" s="111" t="s">
        <v>37</v>
      </c>
      <c r="J30" s="112" t="s">
        <v>472</v>
      </c>
      <c r="K30" s="111" t="s">
        <v>58</v>
      </c>
      <c r="L30" s="111"/>
      <c r="M30" s="112" t="s">
        <v>51</v>
      </c>
      <c r="N30" s="111"/>
      <c r="O30" s="113" t="s">
        <v>59</v>
      </c>
      <c r="Q30" s="32"/>
    </row>
    <row r="31" spans="1:17" ht="45.6" customHeight="1" outlineLevel="1">
      <c r="A31" s="31" t="s">
        <v>921</v>
      </c>
      <c r="B31" s="31" t="s">
        <v>922</v>
      </c>
      <c r="C31" s="31" t="s">
        <v>923</v>
      </c>
      <c r="D31" s="33" t="s">
        <v>924</v>
      </c>
      <c r="E31" s="33" t="s">
        <v>711</v>
      </c>
      <c r="F31" s="111" t="s">
        <v>37</v>
      </c>
      <c r="G31" s="112" t="s">
        <v>472</v>
      </c>
      <c r="H31" s="111" t="s">
        <v>58</v>
      </c>
      <c r="I31" s="111" t="s">
        <v>37</v>
      </c>
      <c r="J31" s="112" t="s">
        <v>472</v>
      </c>
      <c r="K31" s="111" t="s">
        <v>58</v>
      </c>
      <c r="L31" s="111"/>
      <c r="M31" s="112" t="s">
        <v>51</v>
      </c>
      <c r="N31" s="111"/>
      <c r="O31" s="113" t="s">
        <v>59</v>
      </c>
      <c r="Q31" s="32"/>
    </row>
    <row r="32" spans="1:17" ht="45.6" customHeight="1" outlineLevel="1">
      <c r="A32" s="31" t="s">
        <v>925</v>
      </c>
      <c r="B32" s="31" t="s">
        <v>926</v>
      </c>
      <c r="C32" s="31" t="s">
        <v>923</v>
      </c>
      <c r="D32" s="33" t="s">
        <v>927</v>
      </c>
      <c r="E32" s="33" t="s">
        <v>711</v>
      </c>
      <c r="F32" s="111" t="s">
        <v>37</v>
      </c>
      <c r="G32" s="112" t="s">
        <v>472</v>
      </c>
      <c r="H32" s="111" t="s">
        <v>58</v>
      </c>
      <c r="I32" s="111" t="s">
        <v>37</v>
      </c>
      <c r="J32" s="112" t="s">
        <v>472</v>
      </c>
      <c r="K32" s="111" t="s">
        <v>58</v>
      </c>
      <c r="L32" s="111"/>
      <c r="M32" s="112" t="s">
        <v>51</v>
      </c>
      <c r="N32" s="111"/>
      <c r="O32" s="113" t="s">
        <v>59</v>
      </c>
      <c r="Q32" s="32"/>
    </row>
    <row r="33" spans="1:17" ht="45.6" customHeight="1" outlineLevel="1">
      <c r="A33" s="31" t="s">
        <v>928</v>
      </c>
      <c r="B33" s="31" t="s">
        <v>929</v>
      </c>
      <c r="C33" s="31" t="s">
        <v>923</v>
      </c>
      <c r="D33" s="33" t="s">
        <v>475</v>
      </c>
      <c r="E33" s="33" t="s">
        <v>930</v>
      </c>
      <c r="F33" s="111" t="s">
        <v>37</v>
      </c>
      <c r="G33" s="112" t="s">
        <v>472</v>
      </c>
      <c r="H33" s="111" t="s">
        <v>58</v>
      </c>
      <c r="I33" s="111" t="s">
        <v>37</v>
      </c>
      <c r="J33" s="112" t="s">
        <v>472</v>
      </c>
      <c r="K33" s="111" t="s">
        <v>58</v>
      </c>
      <c r="L33" s="111"/>
      <c r="M33" s="112" t="s">
        <v>51</v>
      </c>
      <c r="N33" s="111"/>
      <c r="O33" s="113" t="s">
        <v>59</v>
      </c>
      <c r="Q33" s="32"/>
    </row>
    <row r="34" spans="1:17" ht="45.6" customHeight="1" outlineLevel="1">
      <c r="A34" s="31" t="s">
        <v>931</v>
      </c>
      <c r="B34" s="31" t="s">
        <v>932</v>
      </c>
      <c r="C34" s="31" t="s">
        <v>933</v>
      </c>
      <c r="D34" s="33" t="s">
        <v>500</v>
      </c>
      <c r="E34" s="33" t="s">
        <v>711</v>
      </c>
      <c r="F34" s="111" t="s">
        <v>37</v>
      </c>
      <c r="G34" s="112" t="s">
        <v>472</v>
      </c>
      <c r="H34" s="111" t="s">
        <v>58</v>
      </c>
      <c r="I34" s="111" t="s">
        <v>37</v>
      </c>
      <c r="J34" s="112" t="s">
        <v>472</v>
      </c>
      <c r="K34" s="111" t="s">
        <v>58</v>
      </c>
      <c r="L34" s="111"/>
      <c r="M34" s="112" t="s">
        <v>51</v>
      </c>
      <c r="N34" s="111"/>
      <c r="O34" s="113" t="s">
        <v>59</v>
      </c>
      <c r="Q34" s="32"/>
    </row>
    <row r="35" spans="1:17" ht="45.6" customHeight="1" outlineLevel="1">
      <c r="A35" s="31" t="s">
        <v>934</v>
      </c>
      <c r="B35" s="31" t="s">
        <v>935</v>
      </c>
      <c r="C35" s="31" t="s">
        <v>933</v>
      </c>
      <c r="D35" s="33" t="s">
        <v>489</v>
      </c>
      <c r="E35" s="33" t="s">
        <v>711</v>
      </c>
      <c r="F35" s="111" t="s">
        <v>37</v>
      </c>
      <c r="G35" s="112" t="s">
        <v>472</v>
      </c>
      <c r="H35" s="111" t="s">
        <v>58</v>
      </c>
      <c r="I35" s="111" t="s">
        <v>37</v>
      </c>
      <c r="J35" s="112" t="s">
        <v>472</v>
      </c>
      <c r="K35" s="111" t="s">
        <v>58</v>
      </c>
      <c r="L35" s="111"/>
      <c r="M35" s="112" t="s">
        <v>51</v>
      </c>
      <c r="N35" s="111"/>
      <c r="O35" s="113" t="s">
        <v>59</v>
      </c>
      <c r="Q35" s="32"/>
    </row>
    <row r="36" spans="1:17" ht="45.6" customHeight="1" outlineLevel="1">
      <c r="A36" s="31" t="s">
        <v>936</v>
      </c>
      <c r="B36" s="31" t="s">
        <v>937</v>
      </c>
      <c r="C36" s="31" t="s">
        <v>938</v>
      </c>
      <c r="D36" s="33" t="s">
        <v>528</v>
      </c>
      <c r="E36" s="33" t="s">
        <v>711</v>
      </c>
      <c r="F36" s="111" t="s">
        <v>37</v>
      </c>
      <c r="G36" s="112" t="s">
        <v>472</v>
      </c>
      <c r="H36" s="111" t="s">
        <v>58</v>
      </c>
      <c r="I36" s="111" t="s">
        <v>37</v>
      </c>
      <c r="J36" s="112" t="s">
        <v>472</v>
      </c>
      <c r="K36" s="111" t="s">
        <v>58</v>
      </c>
      <c r="L36" s="111"/>
      <c r="M36" s="112" t="s">
        <v>51</v>
      </c>
      <c r="N36" s="111"/>
      <c r="O36" s="113" t="s">
        <v>59</v>
      </c>
      <c r="Q36" s="32"/>
    </row>
    <row r="37" spans="1:17" ht="32.4" customHeight="1" outlineLevel="1">
      <c r="A37" s="31" t="s">
        <v>939</v>
      </c>
      <c r="B37" s="31" t="s">
        <v>940</v>
      </c>
      <c r="C37" s="31" t="s">
        <v>941</v>
      </c>
      <c r="D37" s="33" t="s">
        <v>500</v>
      </c>
      <c r="E37" s="33" t="s">
        <v>632</v>
      </c>
      <c r="F37" s="111" t="s">
        <v>37</v>
      </c>
      <c r="G37" s="112" t="s">
        <v>472</v>
      </c>
      <c r="H37" s="111" t="s">
        <v>58</v>
      </c>
      <c r="I37" s="111" t="s">
        <v>37</v>
      </c>
      <c r="J37" s="112" t="s">
        <v>472</v>
      </c>
      <c r="K37" s="111" t="s">
        <v>58</v>
      </c>
      <c r="L37" s="111"/>
      <c r="M37" s="112" t="s">
        <v>51</v>
      </c>
      <c r="N37" s="111"/>
      <c r="O37" s="113" t="s">
        <v>59</v>
      </c>
      <c r="Q37" s="32"/>
    </row>
    <row r="38" spans="1:17" ht="32.4" customHeight="1" outlineLevel="1">
      <c r="A38" s="31" t="s">
        <v>942</v>
      </c>
      <c r="B38" s="31" t="s">
        <v>943</v>
      </c>
      <c r="C38" s="31" t="s">
        <v>944</v>
      </c>
      <c r="D38" s="33" t="s">
        <v>509</v>
      </c>
      <c r="E38" s="33" t="s">
        <v>632</v>
      </c>
      <c r="F38" s="111" t="s">
        <v>37</v>
      </c>
      <c r="G38" s="112" t="s">
        <v>472</v>
      </c>
      <c r="H38" s="111" t="s">
        <v>58</v>
      </c>
      <c r="I38" s="111" t="s">
        <v>37</v>
      </c>
      <c r="J38" s="112" t="s">
        <v>472</v>
      </c>
      <c r="K38" s="111" t="s">
        <v>58</v>
      </c>
      <c r="L38" s="111"/>
      <c r="M38" s="112" t="s">
        <v>51</v>
      </c>
      <c r="N38" s="111"/>
      <c r="O38" s="113" t="s">
        <v>59</v>
      </c>
      <c r="Q38" s="32"/>
    </row>
    <row r="39" spans="1:17" ht="32.4" customHeight="1" outlineLevel="1">
      <c r="A39" s="31" t="s">
        <v>945</v>
      </c>
      <c r="B39" s="31" t="s">
        <v>946</v>
      </c>
      <c r="C39" s="31" t="s">
        <v>944</v>
      </c>
      <c r="D39" s="33" t="s">
        <v>509</v>
      </c>
      <c r="E39" s="33" t="s">
        <v>632</v>
      </c>
      <c r="F39" s="111" t="s">
        <v>37</v>
      </c>
      <c r="G39" s="112" t="s">
        <v>472</v>
      </c>
      <c r="H39" s="111" t="s">
        <v>58</v>
      </c>
      <c r="I39" s="111" t="s">
        <v>37</v>
      </c>
      <c r="J39" s="112" t="s">
        <v>472</v>
      </c>
      <c r="K39" s="111" t="s">
        <v>58</v>
      </c>
      <c r="L39" s="111"/>
      <c r="M39" s="112" t="s">
        <v>51</v>
      </c>
      <c r="N39" s="111"/>
      <c r="O39" s="113" t="s">
        <v>59</v>
      </c>
      <c r="Q39" s="32"/>
    </row>
    <row r="40" spans="1:17" ht="32.4" customHeight="1" outlineLevel="1">
      <c r="A40" s="31" t="s">
        <v>947</v>
      </c>
      <c r="B40" s="31" t="s">
        <v>948</v>
      </c>
      <c r="C40" s="31" t="s">
        <v>949</v>
      </c>
      <c r="D40" s="33" t="s">
        <v>475</v>
      </c>
      <c r="E40" s="33" t="s">
        <v>887</v>
      </c>
      <c r="F40" s="111" t="s">
        <v>37</v>
      </c>
      <c r="G40" s="112" t="s">
        <v>472</v>
      </c>
      <c r="H40" s="111" t="s">
        <v>58</v>
      </c>
      <c r="I40" s="111" t="s">
        <v>37</v>
      </c>
      <c r="J40" s="112" t="s">
        <v>472</v>
      </c>
      <c r="K40" s="111" t="s">
        <v>58</v>
      </c>
      <c r="L40" s="111"/>
      <c r="M40" s="112" t="s">
        <v>51</v>
      </c>
      <c r="N40" s="111"/>
      <c r="O40" s="113" t="s">
        <v>59</v>
      </c>
      <c r="Q40" s="32"/>
    </row>
  </sheetData>
  <mergeCells count="3">
    <mergeCell ref="B2:E2"/>
    <mergeCell ref="B3:E3"/>
    <mergeCell ref="B4:E4"/>
  </mergeCells>
  <dataValidations count="3">
    <dataValidation allowBlank="1" showErrorMessage="1" sqref="F10 I10 L10" xr:uid="{77EB1E29-B503-4470-8AF3-7C8A94B70677}"/>
    <dataValidation type="list" allowBlank="1" showErrorMessage="1" sqref="G2:G3 G9 G41:G168 J2:J3 J9 J41:J168 M2:M3 M9 M41:M168" xr:uid="{8FAD46E1-5853-4146-82D0-1B8D0FB4724C}">
      <formula1>$R$2:$R$5</formula1>
      <formula2>0</formula2>
    </dataValidation>
    <dataValidation type="list" allowBlank="1" showInputMessage="1" showErrorMessage="1" sqref="F11:F40 I11:I40 L11:L40" xr:uid="{97FA3C31-1CA6-4AD2-A904-6CC4447F0789}">
      <formula1>$R$2:$R$5</formula1>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85C76-41C6-4373-812E-3B1313B9E8CA}">
  <sheetPr>
    <outlinePr summaryBelow="0" summaryRight="0"/>
  </sheetPr>
  <dimension ref="A1:R34"/>
  <sheetViews>
    <sheetView zoomScale="85" zoomScaleNormal="85" workbookViewId="0">
      <pane ySplit="10" topLeftCell="A11" activePane="bottomLeft" state="frozen"/>
      <selection pane="bottomLeft"/>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14.77734375" style="1" customWidth="1" outlineLevel="1"/>
    <col min="9" max="9" width="9.33203125" style="1" customWidth="1"/>
    <col min="10" max="10" width="10.6640625" style="1" customWidth="1" outlineLevel="1"/>
    <col min="11" max="11" width="14.77734375" style="1" customWidth="1" outlineLevel="1"/>
    <col min="12" max="12" width="9.33203125" style="1" customWidth="1"/>
    <col min="13" max="13" width="10.6640625" style="1" customWidth="1" outlineLevel="1"/>
    <col min="14" max="14" width="14.77734375" style="1" customWidth="1" outlineLevel="1"/>
    <col min="15" max="15" width="28.6640625" style="1" customWidth="1"/>
    <col min="16" max="16" width="10.109375" style="1" customWidth="1"/>
    <col min="17" max="17" width="8.109375" style="23" customWidth="1"/>
    <col min="18" max="18" width="7.6640625" style="1" hidden="1" customWidth="1"/>
    <col min="19" max="16384" width="9" style="1"/>
  </cols>
  <sheetData>
    <row r="1" spans="1:18" ht="13.8" thickBot="1"/>
    <row r="2" spans="1:18" s="25" customFormat="1" ht="15" customHeight="1">
      <c r="A2" s="77" t="s">
        <v>35</v>
      </c>
      <c r="B2" s="105" t="s">
        <v>950</v>
      </c>
      <c r="C2" s="105"/>
      <c r="D2" s="105"/>
      <c r="E2" s="106"/>
      <c r="F2" s="67"/>
      <c r="G2" s="61"/>
      <c r="H2" s="9"/>
      <c r="I2" s="67"/>
      <c r="J2" s="61"/>
      <c r="K2" s="9"/>
      <c r="L2" s="67"/>
      <c r="M2" s="61"/>
      <c r="N2" s="9"/>
      <c r="O2" s="9"/>
      <c r="P2" s="9"/>
      <c r="Q2" s="24"/>
      <c r="R2" s="25" t="s">
        <v>37</v>
      </c>
    </row>
    <row r="3" spans="1:18" s="25" customFormat="1" ht="28.05" customHeight="1">
      <c r="A3" s="78" t="s">
        <v>20</v>
      </c>
      <c r="B3" s="107" t="s">
        <v>951</v>
      </c>
      <c r="C3" s="107"/>
      <c r="D3" s="107"/>
      <c r="E3" s="108"/>
      <c r="F3" s="67"/>
      <c r="G3" s="61"/>
      <c r="H3" s="9"/>
      <c r="I3" s="67"/>
      <c r="J3" s="61"/>
      <c r="K3" s="9"/>
      <c r="L3" s="67"/>
      <c r="M3" s="61"/>
      <c r="N3" s="9"/>
      <c r="O3" s="9"/>
      <c r="P3" s="9"/>
      <c r="Q3" s="24"/>
      <c r="R3" s="25" t="s">
        <v>38</v>
      </c>
    </row>
    <row r="4" spans="1:18" s="25" customFormat="1" ht="18" customHeight="1">
      <c r="A4" s="78" t="s">
        <v>45</v>
      </c>
      <c r="B4" s="107">
        <f>COUNTA(B11:B2015)</f>
        <v>22</v>
      </c>
      <c r="C4" s="107"/>
      <c r="D4" s="107"/>
      <c r="E4" s="108"/>
      <c r="F4" s="67"/>
      <c r="G4" s="61"/>
      <c r="H4" s="9"/>
      <c r="I4" s="67"/>
      <c r="J4" s="61"/>
      <c r="K4" s="9"/>
      <c r="L4" s="67"/>
      <c r="M4" s="61"/>
      <c r="N4" s="9"/>
      <c r="O4" s="9"/>
      <c r="P4" s="9"/>
      <c r="Q4" s="24"/>
      <c r="R4" s="25" t="s">
        <v>36</v>
      </c>
    </row>
    <row r="5" spans="1:18" s="25" customFormat="1" ht="19.5" customHeight="1">
      <c r="A5" s="71" t="s">
        <v>39</v>
      </c>
      <c r="B5" s="69" t="s">
        <v>37</v>
      </c>
      <c r="C5" s="69" t="s">
        <v>38</v>
      </c>
      <c r="D5" s="69" t="s">
        <v>36</v>
      </c>
      <c r="E5" s="72" t="s">
        <v>22</v>
      </c>
      <c r="F5" s="62"/>
      <c r="G5" s="62"/>
      <c r="H5" s="26"/>
      <c r="I5" s="62"/>
      <c r="J5" s="62"/>
      <c r="K5" s="26"/>
      <c r="L5" s="62"/>
      <c r="M5" s="62"/>
      <c r="N5" s="26"/>
      <c r="O5" s="26"/>
      <c r="P5" s="26"/>
      <c r="Q5" s="27"/>
      <c r="R5" s="25" t="s">
        <v>22</v>
      </c>
    </row>
    <row r="6" spans="1:18" s="25" customFormat="1" ht="15" customHeight="1">
      <c r="A6" s="71" t="s">
        <v>40</v>
      </c>
      <c r="B6" s="70">
        <f>COUNTIF($F$11:$F$2015,B$5)</f>
        <v>22</v>
      </c>
      <c r="C6" s="70">
        <f>COUNTIF($F$11:$F$2015,C$5)</f>
        <v>0</v>
      </c>
      <c r="D6" s="70">
        <f>COUNTIF($F$11:$F$2015,D$5)</f>
        <v>0</v>
      </c>
      <c r="E6" s="76">
        <f>COUNTIF($F$11:$F$2015,E$5)</f>
        <v>0</v>
      </c>
      <c r="F6" s="63"/>
      <c r="G6" s="63"/>
      <c r="H6" s="26"/>
      <c r="I6" s="63"/>
      <c r="J6" s="63"/>
      <c r="K6" s="26"/>
      <c r="L6" s="63"/>
      <c r="M6" s="63"/>
      <c r="N6" s="26"/>
      <c r="O6" s="26"/>
      <c r="P6" s="26"/>
      <c r="Q6" s="27"/>
    </row>
    <row r="7" spans="1:18" s="25" customFormat="1" ht="15" customHeight="1">
      <c r="A7" s="71" t="s">
        <v>42</v>
      </c>
      <c r="B7" s="70">
        <f>COUNTIF($I$11:$I$2015,B$5)</f>
        <v>22</v>
      </c>
      <c r="C7" s="70">
        <f>COUNTIF($I$11:$I$2015,C$5)</f>
        <v>0</v>
      </c>
      <c r="D7" s="70">
        <f>COUNTIF($I$11:$I$2015,D$5)</f>
        <v>0</v>
      </c>
      <c r="E7" s="76">
        <f>COUNTIF($I$11:$I$2015,E$5)</f>
        <v>0</v>
      </c>
      <c r="F7" s="63"/>
      <c r="G7" s="63"/>
      <c r="H7" s="26"/>
      <c r="I7" s="63"/>
      <c r="J7" s="63"/>
      <c r="K7" s="26"/>
      <c r="L7" s="63"/>
      <c r="M7" s="63"/>
      <c r="N7" s="26"/>
      <c r="O7" s="26"/>
      <c r="P7" s="26"/>
      <c r="Q7" s="27"/>
    </row>
    <row r="8" spans="1:18" s="25" customFormat="1" ht="15" customHeight="1" thickBot="1">
      <c r="A8" s="73" t="s">
        <v>43</v>
      </c>
      <c r="B8" s="74">
        <f>COUNTIF($L$11:$L$2015,B$5)</f>
        <v>0</v>
      </c>
      <c r="C8" s="74">
        <f>COUNTIF($L$11:$L$2015,C$5)</f>
        <v>0</v>
      </c>
      <c r="D8" s="74">
        <f>COUNTIF($L$11:$L$2015,D$5)</f>
        <v>0</v>
      </c>
      <c r="E8" s="75">
        <f>COUNTIF($L$11:$L$2015,E$5)</f>
        <v>0</v>
      </c>
      <c r="F8" s="63"/>
      <c r="G8" s="63"/>
      <c r="H8" s="26"/>
      <c r="I8" s="63"/>
      <c r="J8" s="63"/>
      <c r="K8" s="26"/>
      <c r="L8" s="63"/>
      <c r="M8" s="63"/>
      <c r="N8" s="26"/>
      <c r="O8" s="26"/>
      <c r="P8" s="26"/>
      <c r="Q8" s="27"/>
    </row>
    <row r="9" spans="1:18" s="25" customFormat="1" ht="15" customHeight="1">
      <c r="A9" s="26"/>
      <c r="B9" s="26"/>
      <c r="C9" s="26"/>
      <c r="D9" s="26"/>
      <c r="E9" s="26"/>
      <c r="F9" s="28"/>
      <c r="G9" s="26"/>
      <c r="H9" s="26"/>
      <c r="I9" s="28"/>
      <c r="J9" s="26"/>
      <c r="K9" s="26"/>
      <c r="L9" s="28"/>
      <c r="M9" s="26"/>
      <c r="N9" s="26"/>
      <c r="O9" s="26"/>
      <c r="P9" s="26"/>
      <c r="Q9" s="27"/>
    </row>
    <row r="10" spans="1:18" s="25" customFormat="1" ht="25.5" customHeight="1">
      <c r="A10" s="68" t="s">
        <v>44</v>
      </c>
      <c r="B10" s="68" t="s">
        <v>23</v>
      </c>
      <c r="C10" s="68" t="s">
        <v>34</v>
      </c>
      <c r="D10" s="68" t="s">
        <v>33</v>
      </c>
      <c r="E10" s="68" t="s">
        <v>41</v>
      </c>
      <c r="F10" s="68" t="s">
        <v>40</v>
      </c>
      <c r="G10" s="68" t="s">
        <v>24</v>
      </c>
      <c r="H10" s="68" t="s">
        <v>21</v>
      </c>
      <c r="I10" s="68" t="s">
        <v>42</v>
      </c>
      <c r="J10" s="68" t="s">
        <v>24</v>
      </c>
      <c r="K10" s="68" t="s">
        <v>21</v>
      </c>
      <c r="L10" s="68" t="s">
        <v>43</v>
      </c>
      <c r="M10" s="68" t="s">
        <v>24</v>
      </c>
      <c r="N10" s="68" t="s">
        <v>21</v>
      </c>
      <c r="O10" s="68" t="s">
        <v>25</v>
      </c>
      <c r="Q10" s="29"/>
    </row>
    <row r="11" spans="1:18" s="25" customFormat="1" ht="15.75" customHeight="1">
      <c r="A11" s="64" t="s">
        <v>952</v>
      </c>
      <c r="B11" s="64"/>
      <c r="C11" s="65"/>
      <c r="D11" s="65"/>
      <c r="E11" s="65"/>
      <c r="F11" s="109"/>
      <c r="G11" s="110" t="s">
        <v>51</v>
      </c>
      <c r="H11" s="109"/>
      <c r="I11" s="109"/>
      <c r="J11" s="110" t="s">
        <v>51</v>
      </c>
      <c r="K11" s="109"/>
      <c r="L11" s="109"/>
      <c r="M11" s="110" t="s">
        <v>51</v>
      </c>
      <c r="N11" s="109"/>
      <c r="O11" s="66"/>
      <c r="Q11" s="30"/>
    </row>
    <row r="12" spans="1:18" ht="32.4" customHeight="1" outlineLevel="1">
      <c r="A12" s="31" t="s">
        <v>953</v>
      </c>
      <c r="B12" s="31" t="s">
        <v>954</v>
      </c>
      <c r="C12" s="31" t="s">
        <v>955</v>
      </c>
      <c r="D12" s="33" t="s">
        <v>956</v>
      </c>
      <c r="E12" s="33" t="s">
        <v>957</v>
      </c>
      <c r="F12" s="111" t="s">
        <v>37</v>
      </c>
      <c r="G12" s="112" t="s">
        <v>472</v>
      </c>
      <c r="H12" s="111" t="s">
        <v>58</v>
      </c>
      <c r="I12" s="111" t="s">
        <v>37</v>
      </c>
      <c r="J12" s="112" t="s">
        <v>472</v>
      </c>
      <c r="K12" s="111" t="s">
        <v>58</v>
      </c>
      <c r="L12" s="111"/>
      <c r="M12" s="112" t="s">
        <v>51</v>
      </c>
      <c r="N12" s="111"/>
      <c r="O12" s="113" t="s">
        <v>59</v>
      </c>
      <c r="Q12" s="32"/>
    </row>
    <row r="13" spans="1:18" ht="32.4" customHeight="1" outlineLevel="1">
      <c r="A13" s="31" t="s">
        <v>958</v>
      </c>
      <c r="B13" s="31" t="s">
        <v>959</v>
      </c>
      <c r="C13" s="31" t="s">
        <v>955</v>
      </c>
      <c r="D13" s="33" t="s">
        <v>509</v>
      </c>
      <c r="E13" s="33" t="s">
        <v>957</v>
      </c>
      <c r="F13" s="111" t="s">
        <v>37</v>
      </c>
      <c r="G13" s="112" t="s">
        <v>472</v>
      </c>
      <c r="H13" s="111" t="s">
        <v>58</v>
      </c>
      <c r="I13" s="111" t="s">
        <v>37</v>
      </c>
      <c r="J13" s="112" t="s">
        <v>472</v>
      </c>
      <c r="K13" s="111" t="s">
        <v>58</v>
      </c>
      <c r="L13" s="111"/>
      <c r="M13" s="112" t="s">
        <v>51</v>
      </c>
      <c r="N13" s="111"/>
      <c r="O13" s="113" t="s">
        <v>59</v>
      </c>
      <c r="Q13" s="32"/>
    </row>
    <row r="14" spans="1:18" ht="32.4" customHeight="1" outlineLevel="1">
      <c r="A14" s="31" t="s">
        <v>960</v>
      </c>
      <c r="B14" s="31" t="s">
        <v>961</v>
      </c>
      <c r="C14" s="31" t="s">
        <v>955</v>
      </c>
      <c r="D14" s="33" t="s">
        <v>509</v>
      </c>
      <c r="E14" s="33" t="s">
        <v>957</v>
      </c>
      <c r="F14" s="111" t="s">
        <v>37</v>
      </c>
      <c r="G14" s="112" t="s">
        <v>472</v>
      </c>
      <c r="H14" s="111" t="s">
        <v>58</v>
      </c>
      <c r="I14" s="111" t="s">
        <v>37</v>
      </c>
      <c r="J14" s="112" t="s">
        <v>472</v>
      </c>
      <c r="K14" s="111" t="s">
        <v>58</v>
      </c>
      <c r="L14" s="111"/>
      <c r="M14" s="112" t="s">
        <v>51</v>
      </c>
      <c r="N14" s="111"/>
      <c r="O14" s="113" t="s">
        <v>59</v>
      </c>
      <c r="Q14" s="32"/>
    </row>
    <row r="15" spans="1:18" ht="32.4" customHeight="1" outlineLevel="1">
      <c r="A15" s="31" t="s">
        <v>962</v>
      </c>
      <c r="B15" s="31" t="s">
        <v>963</v>
      </c>
      <c r="C15" s="31" t="s">
        <v>955</v>
      </c>
      <c r="D15" s="33" t="s">
        <v>906</v>
      </c>
      <c r="E15" s="33" t="s">
        <v>957</v>
      </c>
      <c r="F15" s="111" t="s">
        <v>37</v>
      </c>
      <c r="G15" s="112" t="s">
        <v>472</v>
      </c>
      <c r="H15" s="111" t="s">
        <v>58</v>
      </c>
      <c r="I15" s="111" t="s">
        <v>37</v>
      </c>
      <c r="J15" s="112" t="s">
        <v>472</v>
      </c>
      <c r="K15" s="111" t="s">
        <v>58</v>
      </c>
      <c r="L15" s="111"/>
      <c r="M15" s="112" t="s">
        <v>51</v>
      </c>
      <c r="N15" s="111"/>
      <c r="O15" s="113" t="s">
        <v>59</v>
      </c>
      <c r="Q15" s="32"/>
    </row>
    <row r="16" spans="1:18" ht="32.4" customHeight="1" outlineLevel="1">
      <c r="A16" s="31" t="s">
        <v>964</v>
      </c>
      <c r="B16" s="31" t="s">
        <v>965</v>
      </c>
      <c r="C16" s="31" t="s">
        <v>955</v>
      </c>
      <c r="D16" s="33" t="s">
        <v>500</v>
      </c>
      <c r="E16" s="33" t="s">
        <v>957</v>
      </c>
      <c r="F16" s="111" t="s">
        <v>37</v>
      </c>
      <c r="G16" s="112" t="s">
        <v>472</v>
      </c>
      <c r="H16" s="111" t="s">
        <v>58</v>
      </c>
      <c r="I16" s="111" t="s">
        <v>37</v>
      </c>
      <c r="J16" s="112" t="s">
        <v>472</v>
      </c>
      <c r="K16" s="111" t="s">
        <v>58</v>
      </c>
      <c r="L16" s="111"/>
      <c r="M16" s="112" t="s">
        <v>51</v>
      </c>
      <c r="N16" s="111"/>
      <c r="O16" s="113" t="s">
        <v>59</v>
      </c>
      <c r="Q16" s="32"/>
    </row>
    <row r="17" spans="1:17" ht="45.6" customHeight="1" outlineLevel="1">
      <c r="A17" s="31" t="s">
        <v>966</v>
      </c>
      <c r="B17" s="31" t="s">
        <v>967</v>
      </c>
      <c r="C17" s="31" t="s">
        <v>968</v>
      </c>
      <c r="D17" s="33" t="s">
        <v>489</v>
      </c>
      <c r="E17" s="33" t="s">
        <v>632</v>
      </c>
      <c r="F17" s="111" t="s">
        <v>37</v>
      </c>
      <c r="G17" s="112" t="s">
        <v>472</v>
      </c>
      <c r="H17" s="111" t="s">
        <v>58</v>
      </c>
      <c r="I17" s="111" t="s">
        <v>37</v>
      </c>
      <c r="J17" s="112" t="s">
        <v>472</v>
      </c>
      <c r="K17" s="111" t="s">
        <v>58</v>
      </c>
      <c r="L17" s="111"/>
      <c r="M17" s="112" t="s">
        <v>51</v>
      </c>
      <c r="N17" s="111"/>
      <c r="O17" s="113" t="s">
        <v>59</v>
      </c>
      <c r="Q17" s="32"/>
    </row>
    <row r="18" spans="1:17" ht="32.4" customHeight="1" outlineLevel="1">
      <c r="A18" s="31" t="s">
        <v>969</v>
      </c>
      <c r="B18" s="31" t="s">
        <v>970</v>
      </c>
      <c r="C18" s="31" t="s">
        <v>955</v>
      </c>
      <c r="D18" s="33" t="s">
        <v>489</v>
      </c>
      <c r="E18" s="33" t="s">
        <v>105</v>
      </c>
      <c r="F18" s="111" t="s">
        <v>37</v>
      </c>
      <c r="G18" s="112" t="s">
        <v>472</v>
      </c>
      <c r="H18" s="111" t="s">
        <v>58</v>
      </c>
      <c r="I18" s="111" t="s">
        <v>37</v>
      </c>
      <c r="J18" s="112" t="s">
        <v>472</v>
      </c>
      <c r="K18" s="111" t="s">
        <v>58</v>
      </c>
      <c r="L18" s="111"/>
      <c r="M18" s="112" t="s">
        <v>51</v>
      </c>
      <c r="N18" s="111"/>
      <c r="O18" s="113" t="s">
        <v>59</v>
      </c>
      <c r="Q18" s="32"/>
    </row>
    <row r="19" spans="1:17" ht="45.6" customHeight="1" outlineLevel="1">
      <c r="A19" s="31" t="s">
        <v>971</v>
      </c>
      <c r="B19" s="31" t="s">
        <v>972</v>
      </c>
      <c r="C19" s="31" t="s">
        <v>973</v>
      </c>
      <c r="D19" s="33" t="s">
        <v>974</v>
      </c>
      <c r="E19" s="33" t="s">
        <v>632</v>
      </c>
      <c r="F19" s="111" t="s">
        <v>37</v>
      </c>
      <c r="G19" s="112" t="s">
        <v>472</v>
      </c>
      <c r="H19" s="111" t="s">
        <v>58</v>
      </c>
      <c r="I19" s="111" t="s">
        <v>37</v>
      </c>
      <c r="J19" s="112" t="s">
        <v>472</v>
      </c>
      <c r="K19" s="111" t="s">
        <v>58</v>
      </c>
      <c r="L19" s="111"/>
      <c r="M19" s="112" t="s">
        <v>51</v>
      </c>
      <c r="N19" s="111"/>
      <c r="O19" s="113" t="s">
        <v>59</v>
      </c>
      <c r="Q19" s="32"/>
    </row>
    <row r="20" spans="1:17" ht="45.6" customHeight="1" outlineLevel="1">
      <c r="A20" s="31" t="s">
        <v>975</v>
      </c>
      <c r="B20" s="31" t="s">
        <v>976</v>
      </c>
      <c r="C20" s="31" t="s">
        <v>955</v>
      </c>
      <c r="D20" s="33" t="s">
        <v>977</v>
      </c>
      <c r="E20" s="33" t="s">
        <v>957</v>
      </c>
      <c r="F20" s="111" t="s">
        <v>37</v>
      </c>
      <c r="G20" s="112" t="s">
        <v>472</v>
      </c>
      <c r="H20" s="111" t="s">
        <v>58</v>
      </c>
      <c r="I20" s="111" t="s">
        <v>37</v>
      </c>
      <c r="J20" s="112" t="s">
        <v>472</v>
      </c>
      <c r="K20" s="111" t="s">
        <v>58</v>
      </c>
      <c r="L20" s="111"/>
      <c r="M20" s="112" t="s">
        <v>51</v>
      </c>
      <c r="N20" s="111"/>
      <c r="O20" s="113" t="s">
        <v>59</v>
      </c>
      <c r="Q20" s="32"/>
    </row>
    <row r="21" spans="1:17" ht="45.6" customHeight="1" outlineLevel="1">
      <c r="A21" s="31" t="s">
        <v>978</v>
      </c>
      <c r="B21" s="31" t="s">
        <v>979</v>
      </c>
      <c r="C21" s="31" t="s">
        <v>980</v>
      </c>
      <c r="D21" s="33" t="s">
        <v>489</v>
      </c>
      <c r="E21" s="33" t="s">
        <v>957</v>
      </c>
      <c r="F21" s="111" t="s">
        <v>37</v>
      </c>
      <c r="G21" s="112" t="s">
        <v>472</v>
      </c>
      <c r="H21" s="111" t="s">
        <v>58</v>
      </c>
      <c r="I21" s="111" t="s">
        <v>37</v>
      </c>
      <c r="J21" s="112" t="s">
        <v>472</v>
      </c>
      <c r="K21" s="111" t="s">
        <v>58</v>
      </c>
      <c r="L21" s="111"/>
      <c r="M21" s="112" t="s">
        <v>51</v>
      </c>
      <c r="N21" s="111"/>
      <c r="O21" s="113" t="s">
        <v>59</v>
      </c>
      <c r="Q21" s="32"/>
    </row>
    <row r="22" spans="1:17" s="25" customFormat="1" ht="15.75" customHeight="1">
      <c r="A22" s="64" t="s">
        <v>981</v>
      </c>
      <c r="B22" s="64"/>
      <c r="C22" s="65"/>
      <c r="D22" s="65"/>
      <c r="E22" s="65"/>
      <c r="F22" s="109"/>
      <c r="G22" s="110" t="s">
        <v>51</v>
      </c>
      <c r="H22" s="109"/>
      <c r="I22" s="109"/>
      <c r="J22" s="110" t="s">
        <v>51</v>
      </c>
      <c r="K22" s="109"/>
      <c r="L22" s="109"/>
      <c r="M22" s="110" t="s">
        <v>51</v>
      </c>
      <c r="N22" s="109"/>
      <c r="O22" s="66"/>
      <c r="Q22" s="30"/>
    </row>
    <row r="23" spans="1:17" ht="45.6" customHeight="1" outlineLevel="1">
      <c r="A23" s="31" t="s">
        <v>982</v>
      </c>
      <c r="B23" s="31" t="s">
        <v>983</v>
      </c>
      <c r="C23" s="31" t="s">
        <v>984</v>
      </c>
      <c r="D23" s="33" t="s">
        <v>985</v>
      </c>
      <c r="E23" s="33" t="s">
        <v>986</v>
      </c>
      <c r="F23" s="111" t="s">
        <v>37</v>
      </c>
      <c r="G23" s="112" t="s">
        <v>472</v>
      </c>
      <c r="H23" s="111" t="s">
        <v>58</v>
      </c>
      <c r="I23" s="111" t="s">
        <v>37</v>
      </c>
      <c r="J23" s="112" t="s">
        <v>472</v>
      </c>
      <c r="K23" s="111" t="s">
        <v>58</v>
      </c>
      <c r="L23" s="111"/>
      <c r="M23" s="112" t="s">
        <v>51</v>
      </c>
      <c r="N23" s="111"/>
      <c r="O23" s="113" t="s">
        <v>59</v>
      </c>
      <c r="Q23" s="32"/>
    </row>
    <row r="24" spans="1:17" ht="32.4" customHeight="1" outlineLevel="1">
      <c r="A24" s="31" t="s">
        <v>987</v>
      </c>
      <c r="B24" s="31" t="s">
        <v>988</v>
      </c>
      <c r="C24" s="31" t="s">
        <v>984</v>
      </c>
      <c r="D24" s="33" t="s">
        <v>479</v>
      </c>
      <c r="E24" s="33" t="s">
        <v>105</v>
      </c>
      <c r="F24" s="111" t="s">
        <v>37</v>
      </c>
      <c r="G24" s="112" t="s">
        <v>472</v>
      </c>
      <c r="H24" s="111" t="s">
        <v>58</v>
      </c>
      <c r="I24" s="111" t="s">
        <v>37</v>
      </c>
      <c r="J24" s="112" t="s">
        <v>472</v>
      </c>
      <c r="K24" s="111" t="s">
        <v>58</v>
      </c>
      <c r="L24" s="111"/>
      <c r="M24" s="112" t="s">
        <v>51</v>
      </c>
      <c r="N24" s="111"/>
      <c r="O24" s="113" t="s">
        <v>59</v>
      </c>
      <c r="Q24" s="32"/>
    </row>
    <row r="25" spans="1:17" ht="32.4" customHeight="1" outlineLevel="1">
      <c r="A25" s="31" t="s">
        <v>989</v>
      </c>
      <c r="B25" s="31" t="s">
        <v>990</v>
      </c>
      <c r="C25" s="31" t="s">
        <v>984</v>
      </c>
      <c r="D25" s="33" t="s">
        <v>509</v>
      </c>
      <c r="E25" s="33" t="s">
        <v>986</v>
      </c>
      <c r="F25" s="111" t="s">
        <v>37</v>
      </c>
      <c r="G25" s="112" t="s">
        <v>472</v>
      </c>
      <c r="H25" s="111" t="s">
        <v>58</v>
      </c>
      <c r="I25" s="111" t="s">
        <v>37</v>
      </c>
      <c r="J25" s="112" t="s">
        <v>472</v>
      </c>
      <c r="K25" s="111" t="s">
        <v>58</v>
      </c>
      <c r="L25" s="111"/>
      <c r="M25" s="112" t="s">
        <v>51</v>
      </c>
      <c r="N25" s="111"/>
      <c r="O25" s="113" t="s">
        <v>59</v>
      </c>
      <c r="Q25" s="32"/>
    </row>
    <row r="26" spans="1:17" ht="32.4" customHeight="1" outlineLevel="1">
      <c r="A26" s="31" t="s">
        <v>991</v>
      </c>
      <c r="B26" s="31" t="s">
        <v>992</v>
      </c>
      <c r="C26" s="31" t="s">
        <v>984</v>
      </c>
      <c r="D26" s="33" t="s">
        <v>475</v>
      </c>
      <c r="E26" s="33" t="s">
        <v>986</v>
      </c>
      <c r="F26" s="111" t="s">
        <v>37</v>
      </c>
      <c r="G26" s="112" t="s">
        <v>472</v>
      </c>
      <c r="H26" s="111" t="s">
        <v>58</v>
      </c>
      <c r="I26" s="111" t="s">
        <v>37</v>
      </c>
      <c r="J26" s="112" t="s">
        <v>472</v>
      </c>
      <c r="K26" s="111" t="s">
        <v>58</v>
      </c>
      <c r="L26" s="111"/>
      <c r="M26" s="112" t="s">
        <v>51</v>
      </c>
      <c r="N26" s="111"/>
      <c r="O26" s="113" t="s">
        <v>59</v>
      </c>
      <c r="Q26" s="32"/>
    </row>
    <row r="27" spans="1:17" ht="32.4" customHeight="1" outlineLevel="1">
      <c r="A27" s="31" t="s">
        <v>993</v>
      </c>
      <c r="B27" s="31" t="s">
        <v>994</v>
      </c>
      <c r="C27" s="31" t="s">
        <v>984</v>
      </c>
      <c r="D27" s="33" t="s">
        <v>475</v>
      </c>
      <c r="E27" s="33" t="s">
        <v>986</v>
      </c>
      <c r="F27" s="111" t="s">
        <v>37</v>
      </c>
      <c r="G27" s="112" t="s">
        <v>472</v>
      </c>
      <c r="H27" s="111" t="s">
        <v>58</v>
      </c>
      <c r="I27" s="111" t="s">
        <v>37</v>
      </c>
      <c r="J27" s="112" t="s">
        <v>472</v>
      </c>
      <c r="K27" s="111" t="s">
        <v>58</v>
      </c>
      <c r="L27" s="111"/>
      <c r="M27" s="112" t="s">
        <v>51</v>
      </c>
      <c r="N27" s="111"/>
      <c r="O27" s="113" t="s">
        <v>59</v>
      </c>
      <c r="Q27" s="32"/>
    </row>
    <row r="28" spans="1:17" ht="32.4" customHeight="1" outlineLevel="1">
      <c r="A28" s="31" t="s">
        <v>995</v>
      </c>
      <c r="B28" s="31" t="s">
        <v>996</v>
      </c>
      <c r="C28" s="31" t="s">
        <v>984</v>
      </c>
      <c r="D28" s="33" t="s">
        <v>475</v>
      </c>
      <c r="E28" s="33" t="s">
        <v>986</v>
      </c>
      <c r="F28" s="111" t="s">
        <v>37</v>
      </c>
      <c r="G28" s="112" t="s">
        <v>472</v>
      </c>
      <c r="H28" s="111" t="s">
        <v>58</v>
      </c>
      <c r="I28" s="111" t="s">
        <v>37</v>
      </c>
      <c r="J28" s="112" t="s">
        <v>472</v>
      </c>
      <c r="K28" s="111" t="s">
        <v>58</v>
      </c>
      <c r="L28" s="111"/>
      <c r="M28" s="112" t="s">
        <v>51</v>
      </c>
      <c r="N28" s="111"/>
      <c r="O28" s="113" t="s">
        <v>59</v>
      </c>
      <c r="Q28" s="32"/>
    </row>
    <row r="29" spans="1:17" ht="32.4" customHeight="1" outlineLevel="1">
      <c r="A29" s="31" t="s">
        <v>997</v>
      </c>
      <c r="B29" s="31" t="s">
        <v>998</v>
      </c>
      <c r="C29" s="31" t="s">
        <v>984</v>
      </c>
      <c r="D29" s="33" t="s">
        <v>489</v>
      </c>
      <c r="E29" s="33" t="s">
        <v>105</v>
      </c>
      <c r="F29" s="111" t="s">
        <v>37</v>
      </c>
      <c r="G29" s="112" t="s">
        <v>472</v>
      </c>
      <c r="H29" s="111" t="s">
        <v>58</v>
      </c>
      <c r="I29" s="111" t="s">
        <v>37</v>
      </c>
      <c r="J29" s="112" t="s">
        <v>472</v>
      </c>
      <c r="K29" s="111" t="s">
        <v>58</v>
      </c>
      <c r="L29" s="111"/>
      <c r="M29" s="112" t="s">
        <v>51</v>
      </c>
      <c r="N29" s="111"/>
      <c r="O29" s="113" t="s">
        <v>59</v>
      </c>
      <c r="Q29" s="32"/>
    </row>
    <row r="30" spans="1:17" ht="32.4" customHeight="1" outlineLevel="1">
      <c r="A30" s="31" t="s">
        <v>999</v>
      </c>
      <c r="B30" s="31" t="s">
        <v>1000</v>
      </c>
      <c r="C30" s="31" t="s">
        <v>1001</v>
      </c>
      <c r="D30" s="33" t="s">
        <v>500</v>
      </c>
      <c r="E30" s="33" t="s">
        <v>105</v>
      </c>
      <c r="F30" s="111" t="s">
        <v>37</v>
      </c>
      <c r="G30" s="112" t="s">
        <v>472</v>
      </c>
      <c r="H30" s="111" t="s">
        <v>58</v>
      </c>
      <c r="I30" s="111" t="s">
        <v>37</v>
      </c>
      <c r="J30" s="112" t="s">
        <v>472</v>
      </c>
      <c r="K30" s="111" t="s">
        <v>58</v>
      </c>
      <c r="L30" s="111"/>
      <c r="M30" s="112" t="s">
        <v>51</v>
      </c>
      <c r="N30" s="111"/>
      <c r="O30" s="113" t="s">
        <v>59</v>
      </c>
      <c r="Q30" s="32"/>
    </row>
    <row r="31" spans="1:17" ht="32.4" customHeight="1" outlineLevel="1">
      <c r="A31" s="31" t="s">
        <v>1002</v>
      </c>
      <c r="B31" s="31" t="s">
        <v>1003</v>
      </c>
      <c r="C31" s="31" t="s">
        <v>1004</v>
      </c>
      <c r="D31" s="33" t="s">
        <v>479</v>
      </c>
      <c r="E31" s="33" t="s">
        <v>632</v>
      </c>
      <c r="F31" s="111" t="s">
        <v>37</v>
      </c>
      <c r="G31" s="112" t="s">
        <v>472</v>
      </c>
      <c r="H31" s="111" t="s">
        <v>58</v>
      </c>
      <c r="I31" s="111" t="s">
        <v>37</v>
      </c>
      <c r="J31" s="112" t="s">
        <v>472</v>
      </c>
      <c r="K31" s="111" t="s">
        <v>58</v>
      </c>
      <c r="L31" s="111"/>
      <c r="M31" s="112" t="s">
        <v>51</v>
      </c>
      <c r="N31" s="111"/>
      <c r="O31" s="113" t="s">
        <v>59</v>
      </c>
      <c r="Q31" s="32"/>
    </row>
    <row r="32" spans="1:17" ht="32.4" customHeight="1" outlineLevel="1">
      <c r="A32" s="31" t="s">
        <v>1005</v>
      </c>
      <c r="B32" s="31" t="s">
        <v>1006</v>
      </c>
      <c r="C32" s="31" t="s">
        <v>984</v>
      </c>
      <c r="D32" s="33" t="s">
        <v>500</v>
      </c>
      <c r="E32" s="33" t="s">
        <v>986</v>
      </c>
      <c r="F32" s="111" t="s">
        <v>37</v>
      </c>
      <c r="G32" s="112" t="s">
        <v>472</v>
      </c>
      <c r="H32" s="111" t="s">
        <v>58</v>
      </c>
      <c r="I32" s="111" t="s">
        <v>37</v>
      </c>
      <c r="J32" s="112" t="s">
        <v>472</v>
      </c>
      <c r="K32" s="111" t="s">
        <v>58</v>
      </c>
      <c r="L32" s="111"/>
      <c r="M32" s="112" t="s">
        <v>51</v>
      </c>
      <c r="N32" s="111"/>
      <c r="O32" s="113" t="s">
        <v>59</v>
      </c>
      <c r="Q32" s="32"/>
    </row>
    <row r="33" spans="1:17" ht="32.4" customHeight="1" outlineLevel="1">
      <c r="A33" s="31" t="s">
        <v>1007</v>
      </c>
      <c r="B33" s="31" t="s">
        <v>1008</v>
      </c>
      <c r="C33" s="31" t="s">
        <v>1009</v>
      </c>
      <c r="D33" s="33" t="s">
        <v>528</v>
      </c>
      <c r="E33" s="33" t="s">
        <v>105</v>
      </c>
      <c r="F33" s="111" t="s">
        <v>37</v>
      </c>
      <c r="G33" s="112" t="s">
        <v>472</v>
      </c>
      <c r="H33" s="111" t="s">
        <v>58</v>
      </c>
      <c r="I33" s="111" t="s">
        <v>37</v>
      </c>
      <c r="J33" s="112" t="s">
        <v>472</v>
      </c>
      <c r="K33" s="111" t="s">
        <v>58</v>
      </c>
      <c r="L33" s="111"/>
      <c r="M33" s="112" t="s">
        <v>51</v>
      </c>
      <c r="N33" s="111"/>
      <c r="O33" s="113" t="s">
        <v>59</v>
      </c>
      <c r="Q33" s="32"/>
    </row>
    <row r="34" spans="1:17" ht="45.6" customHeight="1" outlineLevel="1">
      <c r="A34" s="31" t="s">
        <v>1010</v>
      </c>
      <c r="B34" s="31" t="s">
        <v>1011</v>
      </c>
      <c r="C34" s="31" t="s">
        <v>984</v>
      </c>
      <c r="D34" s="33" t="s">
        <v>500</v>
      </c>
      <c r="E34" s="33" t="s">
        <v>711</v>
      </c>
      <c r="F34" s="111" t="s">
        <v>37</v>
      </c>
      <c r="G34" s="112" t="s">
        <v>472</v>
      </c>
      <c r="H34" s="111" t="s">
        <v>58</v>
      </c>
      <c r="I34" s="111" t="s">
        <v>37</v>
      </c>
      <c r="J34" s="112" t="s">
        <v>472</v>
      </c>
      <c r="K34" s="111" t="s">
        <v>58</v>
      </c>
      <c r="L34" s="111"/>
      <c r="M34" s="112" t="s">
        <v>51</v>
      </c>
      <c r="N34" s="111"/>
      <c r="O34" s="113" t="s">
        <v>59</v>
      </c>
      <c r="Q34" s="32"/>
    </row>
  </sheetData>
  <mergeCells count="3">
    <mergeCell ref="B2:E2"/>
    <mergeCell ref="B3:E3"/>
    <mergeCell ref="B4:E4"/>
  </mergeCells>
  <dataValidations count="3">
    <dataValidation allowBlank="1" showErrorMessage="1" sqref="F10 I10 L10" xr:uid="{2207992D-46A9-4060-BA87-2681522A6B34}"/>
    <dataValidation type="list" allowBlank="1" showErrorMessage="1" sqref="G2:G3 G9 G35:G162 J2:J3 J9 J35:J162 M2:M3 M9 M35:M162" xr:uid="{E2588ACA-3E5D-4891-AB20-445FF1513E28}">
      <formula1>$R$2:$R$5</formula1>
      <formula2>0</formula2>
    </dataValidation>
    <dataValidation type="list" allowBlank="1" showInputMessage="1" showErrorMessage="1" sqref="F11:F34 I11:I34 L11:L34" xr:uid="{A93181D1-91CE-4CB4-93EB-65A4C2784BF3}">
      <formula1>$R$2:$R$5</formula1>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A9EB4-D0F6-415F-BC2F-C5F06C70C3D8}">
  <sheetPr>
    <outlinePr summaryBelow="0" summaryRight="0"/>
  </sheetPr>
  <dimension ref="A1:R32"/>
  <sheetViews>
    <sheetView zoomScale="85" zoomScaleNormal="85" workbookViewId="0">
      <pane ySplit="10" topLeftCell="A11" activePane="bottomLeft" state="frozen"/>
      <selection pane="bottomLeft"/>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14.77734375" style="1" customWidth="1" outlineLevel="1"/>
    <col min="9" max="9" width="9.33203125" style="1" customWidth="1"/>
    <col min="10" max="10" width="10.6640625" style="1" customWidth="1" outlineLevel="1"/>
    <col min="11" max="11" width="14.77734375" style="1" customWidth="1" outlineLevel="1"/>
    <col min="12" max="12" width="9.33203125" style="1" customWidth="1"/>
    <col min="13" max="13" width="10.6640625" style="1" customWidth="1" outlineLevel="1"/>
    <col min="14" max="14" width="14.77734375" style="1" customWidth="1" outlineLevel="1"/>
    <col min="15" max="15" width="28.6640625" style="1" customWidth="1"/>
    <col min="16" max="16" width="10.109375" style="1" customWidth="1"/>
    <col min="17" max="17" width="8.109375" style="23" customWidth="1"/>
    <col min="18" max="18" width="7.6640625" style="1" hidden="1" customWidth="1"/>
    <col min="19" max="16384" width="9" style="1"/>
  </cols>
  <sheetData>
    <row r="1" spans="1:18" ht="13.8" thickBot="1"/>
    <row r="2" spans="1:18" s="25" customFormat="1" ht="15" customHeight="1">
      <c r="A2" s="77" t="s">
        <v>35</v>
      </c>
      <c r="B2" s="105" t="s">
        <v>1012</v>
      </c>
      <c r="C2" s="105"/>
      <c r="D2" s="105"/>
      <c r="E2" s="106"/>
      <c r="F2" s="67"/>
      <c r="G2" s="61"/>
      <c r="H2" s="9"/>
      <c r="I2" s="67"/>
      <c r="J2" s="61"/>
      <c r="K2" s="9"/>
      <c r="L2" s="67"/>
      <c r="M2" s="61"/>
      <c r="N2" s="9"/>
      <c r="O2" s="9"/>
      <c r="P2" s="9"/>
      <c r="Q2" s="24"/>
      <c r="R2" s="25" t="s">
        <v>37</v>
      </c>
    </row>
    <row r="3" spans="1:18" s="25" customFormat="1" ht="28.05" customHeight="1">
      <c r="A3" s="78" t="s">
        <v>20</v>
      </c>
      <c r="B3" s="107" t="s">
        <v>1013</v>
      </c>
      <c r="C3" s="107"/>
      <c r="D3" s="107"/>
      <c r="E3" s="108"/>
      <c r="F3" s="67"/>
      <c r="G3" s="61"/>
      <c r="H3" s="9"/>
      <c r="I3" s="67"/>
      <c r="J3" s="61"/>
      <c r="K3" s="9"/>
      <c r="L3" s="67"/>
      <c r="M3" s="61"/>
      <c r="N3" s="9"/>
      <c r="O3" s="9"/>
      <c r="P3" s="9"/>
      <c r="Q3" s="24"/>
      <c r="R3" s="25" t="s">
        <v>38</v>
      </c>
    </row>
    <row r="4" spans="1:18" s="25" customFormat="1" ht="18" customHeight="1">
      <c r="A4" s="78" t="s">
        <v>45</v>
      </c>
      <c r="B4" s="107">
        <f>COUNTA(B11:B2013)</f>
        <v>20</v>
      </c>
      <c r="C4" s="107"/>
      <c r="D4" s="107"/>
      <c r="E4" s="108"/>
      <c r="F4" s="67"/>
      <c r="G4" s="61"/>
      <c r="H4" s="9"/>
      <c r="I4" s="67"/>
      <c r="J4" s="61"/>
      <c r="K4" s="9"/>
      <c r="L4" s="67"/>
      <c r="M4" s="61"/>
      <c r="N4" s="9"/>
      <c r="O4" s="9"/>
      <c r="P4" s="9"/>
      <c r="Q4" s="24"/>
      <c r="R4" s="25" t="s">
        <v>36</v>
      </c>
    </row>
    <row r="5" spans="1:18" s="25" customFormat="1" ht="19.5" customHeight="1">
      <c r="A5" s="71" t="s">
        <v>39</v>
      </c>
      <c r="B5" s="69" t="s">
        <v>37</v>
      </c>
      <c r="C5" s="69" t="s">
        <v>38</v>
      </c>
      <c r="D5" s="69" t="s">
        <v>36</v>
      </c>
      <c r="E5" s="72" t="s">
        <v>22</v>
      </c>
      <c r="F5" s="62"/>
      <c r="G5" s="62"/>
      <c r="H5" s="26"/>
      <c r="I5" s="62"/>
      <c r="J5" s="62"/>
      <c r="K5" s="26"/>
      <c r="L5" s="62"/>
      <c r="M5" s="62"/>
      <c r="N5" s="26"/>
      <c r="O5" s="26"/>
      <c r="P5" s="26"/>
      <c r="Q5" s="27"/>
      <c r="R5" s="25" t="s">
        <v>22</v>
      </c>
    </row>
    <row r="6" spans="1:18" s="25" customFormat="1" ht="15" customHeight="1">
      <c r="A6" s="71" t="s">
        <v>40</v>
      </c>
      <c r="B6" s="70">
        <f>COUNTIF($F$11:$F$2013,B$5)</f>
        <v>20</v>
      </c>
      <c r="C6" s="70">
        <f>COUNTIF($F$11:$F$2013,C$5)</f>
        <v>0</v>
      </c>
      <c r="D6" s="70">
        <f>COUNTIF($F$11:$F$2013,D$5)</f>
        <v>0</v>
      </c>
      <c r="E6" s="76">
        <f>COUNTIF($F$11:$F$2013,E$5)</f>
        <v>0</v>
      </c>
      <c r="F6" s="63"/>
      <c r="G6" s="63"/>
      <c r="H6" s="26"/>
      <c r="I6" s="63"/>
      <c r="J6" s="63"/>
      <c r="K6" s="26"/>
      <c r="L6" s="63"/>
      <c r="M6" s="63"/>
      <c r="N6" s="26"/>
      <c r="O6" s="26"/>
      <c r="P6" s="26"/>
      <c r="Q6" s="27"/>
    </row>
    <row r="7" spans="1:18" s="25" customFormat="1" ht="15" customHeight="1">
      <c r="A7" s="71" t="s">
        <v>42</v>
      </c>
      <c r="B7" s="70">
        <f>COUNTIF($I$11:$I$2013,B$5)</f>
        <v>20</v>
      </c>
      <c r="C7" s="70">
        <f>COUNTIF($I$11:$I$2013,C$5)</f>
        <v>0</v>
      </c>
      <c r="D7" s="70">
        <f>COUNTIF($I$11:$I$2013,D$5)</f>
        <v>0</v>
      </c>
      <c r="E7" s="76">
        <f>COUNTIF($I$11:$I$2013,E$5)</f>
        <v>0</v>
      </c>
      <c r="F7" s="63"/>
      <c r="G7" s="63"/>
      <c r="H7" s="26"/>
      <c r="I7" s="63"/>
      <c r="J7" s="63"/>
      <c r="K7" s="26"/>
      <c r="L7" s="63"/>
      <c r="M7" s="63"/>
      <c r="N7" s="26"/>
      <c r="O7" s="26"/>
      <c r="P7" s="26"/>
      <c r="Q7" s="27"/>
    </row>
    <row r="8" spans="1:18" s="25" customFormat="1" ht="15" customHeight="1" thickBot="1">
      <c r="A8" s="73" t="s">
        <v>43</v>
      </c>
      <c r="B8" s="74">
        <f>COUNTIF($L$11:$L$2013,B$5)</f>
        <v>0</v>
      </c>
      <c r="C8" s="74">
        <f>COUNTIF($L$11:$L$2013,C$5)</f>
        <v>0</v>
      </c>
      <c r="D8" s="74">
        <f>COUNTIF($L$11:$L$2013,D$5)</f>
        <v>0</v>
      </c>
      <c r="E8" s="75">
        <f>COUNTIF($L$11:$L$2013,E$5)</f>
        <v>0</v>
      </c>
      <c r="F8" s="63"/>
      <c r="G8" s="63"/>
      <c r="H8" s="26"/>
      <c r="I8" s="63"/>
      <c r="J8" s="63"/>
      <c r="K8" s="26"/>
      <c r="L8" s="63"/>
      <c r="M8" s="63"/>
      <c r="N8" s="26"/>
      <c r="O8" s="26"/>
      <c r="P8" s="26"/>
      <c r="Q8" s="27"/>
    </row>
    <row r="9" spans="1:18" s="25" customFormat="1" ht="15" customHeight="1">
      <c r="A9" s="26"/>
      <c r="B9" s="26"/>
      <c r="C9" s="26"/>
      <c r="D9" s="26"/>
      <c r="E9" s="26"/>
      <c r="F9" s="28"/>
      <c r="G9" s="26"/>
      <c r="H9" s="26"/>
      <c r="I9" s="28"/>
      <c r="J9" s="26"/>
      <c r="K9" s="26"/>
      <c r="L9" s="28"/>
      <c r="M9" s="26"/>
      <c r="N9" s="26"/>
      <c r="O9" s="26"/>
      <c r="P9" s="26"/>
      <c r="Q9" s="27"/>
    </row>
    <row r="10" spans="1:18" s="25" customFormat="1" ht="25.5" customHeight="1">
      <c r="A10" s="68" t="s">
        <v>44</v>
      </c>
      <c r="B10" s="68" t="s">
        <v>23</v>
      </c>
      <c r="C10" s="68" t="s">
        <v>34</v>
      </c>
      <c r="D10" s="68" t="s">
        <v>33</v>
      </c>
      <c r="E10" s="68" t="s">
        <v>41</v>
      </c>
      <c r="F10" s="68" t="s">
        <v>40</v>
      </c>
      <c r="G10" s="68" t="s">
        <v>24</v>
      </c>
      <c r="H10" s="68" t="s">
        <v>21</v>
      </c>
      <c r="I10" s="68" t="s">
        <v>42</v>
      </c>
      <c r="J10" s="68" t="s">
        <v>24</v>
      </c>
      <c r="K10" s="68" t="s">
        <v>21</v>
      </c>
      <c r="L10" s="68" t="s">
        <v>43</v>
      </c>
      <c r="M10" s="68" t="s">
        <v>24</v>
      </c>
      <c r="N10" s="68" t="s">
        <v>21</v>
      </c>
      <c r="O10" s="68" t="s">
        <v>25</v>
      </c>
      <c r="Q10" s="29"/>
    </row>
    <row r="11" spans="1:18" s="25" customFormat="1" ht="15.75" customHeight="1">
      <c r="A11" s="64" t="s">
        <v>1014</v>
      </c>
      <c r="B11" s="64"/>
      <c r="C11" s="65"/>
      <c r="D11" s="65"/>
      <c r="E11" s="65"/>
      <c r="F11" s="109"/>
      <c r="G11" s="110" t="s">
        <v>51</v>
      </c>
      <c r="H11" s="109"/>
      <c r="I11" s="109"/>
      <c r="J11" s="110" t="s">
        <v>51</v>
      </c>
      <c r="K11" s="109"/>
      <c r="L11" s="109"/>
      <c r="M11" s="110" t="s">
        <v>51</v>
      </c>
      <c r="N11" s="109"/>
      <c r="O11" s="66"/>
      <c r="Q11" s="30"/>
    </row>
    <row r="12" spans="1:18" ht="32.4" customHeight="1" outlineLevel="1">
      <c r="A12" s="31" t="s">
        <v>1015</v>
      </c>
      <c r="B12" s="31" t="s">
        <v>1016</v>
      </c>
      <c r="C12" s="31" t="s">
        <v>569</v>
      </c>
      <c r="D12" s="33" t="s">
        <v>500</v>
      </c>
      <c r="E12" s="33" t="s">
        <v>1017</v>
      </c>
      <c r="F12" s="111" t="s">
        <v>37</v>
      </c>
      <c r="G12" s="112" t="s">
        <v>472</v>
      </c>
      <c r="H12" s="111" t="s">
        <v>58</v>
      </c>
      <c r="I12" s="111" t="s">
        <v>37</v>
      </c>
      <c r="J12" s="112" t="s">
        <v>472</v>
      </c>
      <c r="K12" s="111" t="s">
        <v>58</v>
      </c>
      <c r="L12" s="111"/>
      <c r="M12" s="112" t="s">
        <v>51</v>
      </c>
      <c r="N12" s="111"/>
      <c r="O12" s="113" t="s">
        <v>59</v>
      </c>
      <c r="Q12" s="32"/>
    </row>
    <row r="13" spans="1:18" ht="32.4" customHeight="1" outlineLevel="1">
      <c r="A13" s="31" t="s">
        <v>1018</v>
      </c>
      <c r="B13" s="31" t="s">
        <v>1019</v>
      </c>
      <c r="C13" s="31" t="s">
        <v>569</v>
      </c>
      <c r="D13" s="33" t="s">
        <v>743</v>
      </c>
      <c r="E13" s="33" t="s">
        <v>1017</v>
      </c>
      <c r="F13" s="111" t="s">
        <v>37</v>
      </c>
      <c r="G13" s="112" t="s">
        <v>472</v>
      </c>
      <c r="H13" s="111" t="s">
        <v>58</v>
      </c>
      <c r="I13" s="111" t="s">
        <v>37</v>
      </c>
      <c r="J13" s="112" t="s">
        <v>472</v>
      </c>
      <c r="K13" s="111" t="s">
        <v>58</v>
      </c>
      <c r="L13" s="111"/>
      <c r="M13" s="112" t="s">
        <v>51</v>
      </c>
      <c r="N13" s="111"/>
      <c r="O13" s="113" t="s">
        <v>59</v>
      </c>
      <c r="Q13" s="32"/>
    </row>
    <row r="14" spans="1:18" ht="32.4" customHeight="1" outlineLevel="1">
      <c r="A14" s="31" t="s">
        <v>1020</v>
      </c>
      <c r="B14" s="31" t="s">
        <v>1021</v>
      </c>
      <c r="C14" s="31" t="s">
        <v>569</v>
      </c>
      <c r="D14" s="33" t="s">
        <v>743</v>
      </c>
      <c r="E14" s="33" t="s">
        <v>1017</v>
      </c>
      <c r="F14" s="111" t="s">
        <v>37</v>
      </c>
      <c r="G14" s="112" t="s">
        <v>472</v>
      </c>
      <c r="H14" s="111" t="s">
        <v>58</v>
      </c>
      <c r="I14" s="111" t="s">
        <v>37</v>
      </c>
      <c r="J14" s="112" t="s">
        <v>472</v>
      </c>
      <c r="K14" s="111" t="s">
        <v>58</v>
      </c>
      <c r="L14" s="111"/>
      <c r="M14" s="112" t="s">
        <v>51</v>
      </c>
      <c r="N14" s="111"/>
      <c r="O14" s="113" t="s">
        <v>59</v>
      </c>
      <c r="Q14" s="32"/>
    </row>
    <row r="15" spans="1:18" ht="32.4" customHeight="1" outlineLevel="1">
      <c r="A15" s="31" t="s">
        <v>1022</v>
      </c>
      <c r="B15" s="31" t="s">
        <v>1023</v>
      </c>
      <c r="C15" s="31" t="s">
        <v>569</v>
      </c>
      <c r="D15" s="33" t="s">
        <v>576</v>
      </c>
      <c r="E15" s="33" t="s">
        <v>105</v>
      </c>
      <c r="F15" s="111" t="s">
        <v>37</v>
      </c>
      <c r="G15" s="112" t="s">
        <v>472</v>
      </c>
      <c r="H15" s="111" t="s">
        <v>58</v>
      </c>
      <c r="I15" s="111" t="s">
        <v>37</v>
      </c>
      <c r="J15" s="112" t="s">
        <v>472</v>
      </c>
      <c r="K15" s="111" t="s">
        <v>58</v>
      </c>
      <c r="L15" s="111"/>
      <c r="M15" s="112" t="s">
        <v>51</v>
      </c>
      <c r="N15" s="111"/>
      <c r="O15" s="113" t="s">
        <v>59</v>
      </c>
      <c r="Q15" s="32"/>
    </row>
    <row r="16" spans="1:18" ht="32.4" customHeight="1" outlineLevel="1">
      <c r="A16" s="31" t="s">
        <v>1024</v>
      </c>
      <c r="B16" s="31" t="s">
        <v>1025</v>
      </c>
      <c r="C16" s="31" t="s">
        <v>569</v>
      </c>
      <c r="D16" s="33" t="s">
        <v>598</v>
      </c>
      <c r="E16" s="33" t="s">
        <v>1017</v>
      </c>
      <c r="F16" s="111" t="s">
        <v>37</v>
      </c>
      <c r="G16" s="112" t="s">
        <v>472</v>
      </c>
      <c r="H16" s="111" t="s">
        <v>58</v>
      </c>
      <c r="I16" s="111" t="s">
        <v>37</v>
      </c>
      <c r="J16" s="112" t="s">
        <v>472</v>
      </c>
      <c r="K16" s="111" t="s">
        <v>58</v>
      </c>
      <c r="L16" s="111"/>
      <c r="M16" s="112" t="s">
        <v>51</v>
      </c>
      <c r="N16" s="111"/>
      <c r="O16" s="113" t="s">
        <v>59</v>
      </c>
      <c r="Q16" s="32"/>
    </row>
    <row r="17" spans="1:17" ht="32.4" customHeight="1" outlineLevel="1">
      <c r="A17" s="31" t="s">
        <v>1026</v>
      </c>
      <c r="B17" s="31" t="s">
        <v>1027</v>
      </c>
      <c r="C17" s="31" t="s">
        <v>1028</v>
      </c>
      <c r="D17" s="33" t="s">
        <v>743</v>
      </c>
      <c r="E17" s="33" t="s">
        <v>105</v>
      </c>
      <c r="F17" s="111" t="s">
        <v>37</v>
      </c>
      <c r="G17" s="112" t="s">
        <v>472</v>
      </c>
      <c r="H17" s="111" t="s">
        <v>58</v>
      </c>
      <c r="I17" s="111" t="s">
        <v>37</v>
      </c>
      <c r="J17" s="112" t="s">
        <v>472</v>
      </c>
      <c r="K17" s="111" t="s">
        <v>58</v>
      </c>
      <c r="L17" s="111"/>
      <c r="M17" s="112" t="s">
        <v>51</v>
      </c>
      <c r="N17" s="111"/>
      <c r="O17" s="113" t="s">
        <v>59</v>
      </c>
      <c r="Q17" s="32"/>
    </row>
    <row r="18" spans="1:17" ht="32.4" customHeight="1" outlineLevel="1">
      <c r="A18" s="31" t="s">
        <v>1029</v>
      </c>
      <c r="B18" s="31" t="s">
        <v>1030</v>
      </c>
      <c r="C18" s="31" t="s">
        <v>1028</v>
      </c>
      <c r="D18" s="33" t="s">
        <v>500</v>
      </c>
      <c r="E18" s="33" t="s">
        <v>105</v>
      </c>
      <c r="F18" s="111" t="s">
        <v>37</v>
      </c>
      <c r="G18" s="112" t="s">
        <v>472</v>
      </c>
      <c r="H18" s="111" t="s">
        <v>58</v>
      </c>
      <c r="I18" s="111" t="s">
        <v>37</v>
      </c>
      <c r="J18" s="112" t="s">
        <v>472</v>
      </c>
      <c r="K18" s="111" t="s">
        <v>58</v>
      </c>
      <c r="L18" s="111"/>
      <c r="M18" s="112" t="s">
        <v>51</v>
      </c>
      <c r="N18" s="111"/>
      <c r="O18" s="113" t="s">
        <v>59</v>
      </c>
      <c r="Q18" s="32"/>
    </row>
    <row r="19" spans="1:17" ht="45.6" customHeight="1" outlineLevel="1">
      <c r="A19" s="31" t="s">
        <v>1031</v>
      </c>
      <c r="B19" s="31" t="s">
        <v>1032</v>
      </c>
      <c r="C19" s="31" t="s">
        <v>1033</v>
      </c>
      <c r="D19" s="33" t="s">
        <v>1034</v>
      </c>
      <c r="E19" s="33" t="s">
        <v>1017</v>
      </c>
      <c r="F19" s="111" t="s">
        <v>37</v>
      </c>
      <c r="G19" s="112" t="s">
        <v>472</v>
      </c>
      <c r="H19" s="111" t="s">
        <v>58</v>
      </c>
      <c r="I19" s="111" t="s">
        <v>37</v>
      </c>
      <c r="J19" s="112" t="s">
        <v>472</v>
      </c>
      <c r="K19" s="111" t="s">
        <v>58</v>
      </c>
      <c r="L19" s="111"/>
      <c r="M19" s="112" t="s">
        <v>51</v>
      </c>
      <c r="N19" s="111"/>
      <c r="O19" s="113" t="s">
        <v>59</v>
      </c>
      <c r="Q19" s="32"/>
    </row>
    <row r="20" spans="1:17" ht="32.4" customHeight="1" outlineLevel="1">
      <c r="A20" s="31" t="s">
        <v>1035</v>
      </c>
      <c r="B20" s="31" t="s">
        <v>1036</v>
      </c>
      <c r="C20" s="31" t="s">
        <v>569</v>
      </c>
      <c r="D20" s="33" t="s">
        <v>906</v>
      </c>
      <c r="E20" s="33" t="s">
        <v>1017</v>
      </c>
      <c r="F20" s="111" t="s">
        <v>37</v>
      </c>
      <c r="G20" s="112" t="s">
        <v>472</v>
      </c>
      <c r="H20" s="111" t="s">
        <v>58</v>
      </c>
      <c r="I20" s="111" t="s">
        <v>37</v>
      </c>
      <c r="J20" s="112" t="s">
        <v>472</v>
      </c>
      <c r="K20" s="111" t="s">
        <v>58</v>
      </c>
      <c r="L20" s="111"/>
      <c r="M20" s="112" t="s">
        <v>51</v>
      </c>
      <c r="N20" s="111"/>
      <c r="O20" s="113" t="s">
        <v>59</v>
      </c>
      <c r="Q20" s="32"/>
    </row>
    <row r="21" spans="1:17" ht="45.6" customHeight="1" outlineLevel="1">
      <c r="A21" s="31" t="s">
        <v>1037</v>
      </c>
      <c r="B21" s="31" t="s">
        <v>1038</v>
      </c>
      <c r="C21" s="31" t="s">
        <v>1039</v>
      </c>
      <c r="D21" s="33" t="s">
        <v>500</v>
      </c>
      <c r="E21" s="33" t="s">
        <v>1017</v>
      </c>
      <c r="F21" s="111" t="s">
        <v>37</v>
      </c>
      <c r="G21" s="112" t="s">
        <v>472</v>
      </c>
      <c r="H21" s="111" t="s">
        <v>58</v>
      </c>
      <c r="I21" s="111" t="s">
        <v>37</v>
      </c>
      <c r="J21" s="112" t="s">
        <v>472</v>
      </c>
      <c r="K21" s="111" t="s">
        <v>58</v>
      </c>
      <c r="L21" s="111"/>
      <c r="M21" s="112" t="s">
        <v>51</v>
      </c>
      <c r="N21" s="111"/>
      <c r="O21" s="113" t="s">
        <v>59</v>
      </c>
      <c r="Q21" s="32"/>
    </row>
    <row r="22" spans="1:17" ht="45.6" customHeight="1" outlineLevel="1">
      <c r="A22" s="31" t="s">
        <v>1040</v>
      </c>
      <c r="B22" s="31" t="s">
        <v>1041</v>
      </c>
      <c r="C22" s="31" t="s">
        <v>1042</v>
      </c>
      <c r="D22" s="33" t="s">
        <v>479</v>
      </c>
      <c r="E22" s="33" t="s">
        <v>1017</v>
      </c>
      <c r="F22" s="111" t="s">
        <v>37</v>
      </c>
      <c r="G22" s="112" t="s">
        <v>472</v>
      </c>
      <c r="H22" s="111" t="s">
        <v>58</v>
      </c>
      <c r="I22" s="111" t="s">
        <v>37</v>
      </c>
      <c r="J22" s="112" t="s">
        <v>472</v>
      </c>
      <c r="K22" s="111" t="s">
        <v>58</v>
      </c>
      <c r="L22" s="111"/>
      <c r="M22" s="112" t="s">
        <v>51</v>
      </c>
      <c r="N22" s="111"/>
      <c r="O22" s="113" t="s">
        <v>59</v>
      </c>
      <c r="Q22" s="32"/>
    </row>
    <row r="23" spans="1:17" ht="45.6" customHeight="1" outlineLevel="1">
      <c r="A23" s="31" t="s">
        <v>1043</v>
      </c>
      <c r="B23" s="31" t="s">
        <v>1044</v>
      </c>
      <c r="C23" s="31" t="s">
        <v>1039</v>
      </c>
      <c r="D23" s="33" t="s">
        <v>489</v>
      </c>
      <c r="E23" s="33" t="s">
        <v>105</v>
      </c>
      <c r="F23" s="111" t="s">
        <v>37</v>
      </c>
      <c r="G23" s="112" t="s">
        <v>472</v>
      </c>
      <c r="H23" s="111" t="s">
        <v>58</v>
      </c>
      <c r="I23" s="111" t="s">
        <v>37</v>
      </c>
      <c r="J23" s="112" t="s">
        <v>472</v>
      </c>
      <c r="K23" s="111" t="s">
        <v>58</v>
      </c>
      <c r="L23" s="111"/>
      <c r="M23" s="112" t="s">
        <v>51</v>
      </c>
      <c r="N23" s="111"/>
      <c r="O23" s="113" t="s">
        <v>59</v>
      </c>
      <c r="Q23" s="32"/>
    </row>
    <row r="24" spans="1:17" ht="45.6" customHeight="1" outlineLevel="1">
      <c r="A24" s="31" t="s">
        <v>1045</v>
      </c>
      <c r="B24" s="31" t="s">
        <v>1046</v>
      </c>
      <c r="C24" s="31" t="s">
        <v>1047</v>
      </c>
      <c r="D24" s="33" t="s">
        <v>475</v>
      </c>
      <c r="E24" s="33" t="s">
        <v>1017</v>
      </c>
      <c r="F24" s="111" t="s">
        <v>37</v>
      </c>
      <c r="G24" s="112" t="s">
        <v>472</v>
      </c>
      <c r="H24" s="111" t="s">
        <v>58</v>
      </c>
      <c r="I24" s="111" t="s">
        <v>37</v>
      </c>
      <c r="J24" s="112" t="s">
        <v>472</v>
      </c>
      <c r="K24" s="111" t="s">
        <v>58</v>
      </c>
      <c r="L24" s="111"/>
      <c r="M24" s="112" t="s">
        <v>51</v>
      </c>
      <c r="N24" s="111"/>
      <c r="O24" s="113" t="s">
        <v>59</v>
      </c>
      <c r="Q24" s="32"/>
    </row>
    <row r="25" spans="1:17" ht="32.4" customHeight="1" outlineLevel="1">
      <c r="A25" s="31" t="s">
        <v>1048</v>
      </c>
      <c r="B25" s="31" t="s">
        <v>1049</v>
      </c>
      <c r="C25" s="31" t="s">
        <v>1050</v>
      </c>
      <c r="D25" s="33" t="s">
        <v>500</v>
      </c>
      <c r="E25" s="33" t="s">
        <v>1017</v>
      </c>
      <c r="F25" s="111" t="s">
        <v>37</v>
      </c>
      <c r="G25" s="112" t="s">
        <v>472</v>
      </c>
      <c r="H25" s="111" t="s">
        <v>58</v>
      </c>
      <c r="I25" s="111" t="s">
        <v>37</v>
      </c>
      <c r="J25" s="112" t="s">
        <v>472</v>
      </c>
      <c r="K25" s="111" t="s">
        <v>58</v>
      </c>
      <c r="L25" s="111"/>
      <c r="M25" s="112" t="s">
        <v>51</v>
      </c>
      <c r="N25" s="111"/>
      <c r="O25" s="113" t="s">
        <v>59</v>
      </c>
      <c r="Q25" s="32"/>
    </row>
    <row r="26" spans="1:17" s="25" customFormat="1" ht="15.75" customHeight="1">
      <c r="A26" s="64" t="s">
        <v>1051</v>
      </c>
      <c r="B26" s="64"/>
      <c r="C26" s="65"/>
      <c r="D26" s="65"/>
      <c r="E26" s="65"/>
      <c r="F26" s="109"/>
      <c r="G26" s="110" t="s">
        <v>51</v>
      </c>
      <c r="H26" s="109"/>
      <c r="I26" s="109"/>
      <c r="J26" s="110" t="s">
        <v>51</v>
      </c>
      <c r="K26" s="109"/>
      <c r="L26" s="109"/>
      <c r="M26" s="110" t="s">
        <v>51</v>
      </c>
      <c r="N26" s="109"/>
      <c r="O26" s="66"/>
      <c r="Q26" s="30"/>
    </row>
    <row r="27" spans="1:17" ht="45.6" customHeight="1" outlineLevel="1">
      <c r="A27" s="31" t="s">
        <v>1052</v>
      </c>
      <c r="B27" s="31" t="s">
        <v>1053</v>
      </c>
      <c r="C27" s="31" t="s">
        <v>1054</v>
      </c>
      <c r="D27" s="33" t="s">
        <v>500</v>
      </c>
      <c r="E27" s="33" t="s">
        <v>105</v>
      </c>
      <c r="F27" s="111" t="s">
        <v>37</v>
      </c>
      <c r="G27" s="112" t="s">
        <v>472</v>
      </c>
      <c r="H27" s="111" t="s">
        <v>58</v>
      </c>
      <c r="I27" s="111" t="s">
        <v>37</v>
      </c>
      <c r="J27" s="112" t="s">
        <v>472</v>
      </c>
      <c r="K27" s="111" t="s">
        <v>58</v>
      </c>
      <c r="L27" s="111"/>
      <c r="M27" s="112" t="s">
        <v>51</v>
      </c>
      <c r="N27" s="111"/>
      <c r="O27" s="113" t="s">
        <v>59</v>
      </c>
      <c r="Q27" s="32"/>
    </row>
    <row r="28" spans="1:17" ht="45.6" customHeight="1" outlineLevel="1">
      <c r="A28" s="31" t="s">
        <v>1055</v>
      </c>
      <c r="B28" s="31" t="s">
        <v>1056</v>
      </c>
      <c r="C28" s="31" t="s">
        <v>1054</v>
      </c>
      <c r="D28" s="33" t="s">
        <v>500</v>
      </c>
      <c r="E28" s="33" t="s">
        <v>105</v>
      </c>
      <c r="F28" s="111" t="s">
        <v>37</v>
      </c>
      <c r="G28" s="112" t="s">
        <v>472</v>
      </c>
      <c r="H28" s="111" t="s">
        <v>58</v>
      </c>
      <c r="I28" s="111" t="s">
        <v>37</v>
      </c>
      <c r="J28" s="112" t="s">
        <v>472</v>
      </c>
      <c r="K28" s="111" t="s">
        <v>58</v>
      </c>
      <c r="L28" s="111"/>
      <c r="M28" s="112" t="s">
        <v>51</v>
      </c>
      <c r="N28" s="111"/>
      <c r="O28" s="113" t="s">
        <v>59</v>
      </c>
      <c r="Q28" s="32"/>
    </row>
    <row r="29" spans="1:17" ht="32.4" customHeight="1" outlineLevel="1">
      <c r="A29" s="31" t="s">
        <v>1057</v>
      </c>
      <c r="B29" s="31" t="s">
        <v>1058</v>
      </c>
      <c r="C29" s="31" t="s">
        <v>1059</v>
      </c>
      <c r="D29" s="33" t="s">
        <v>500</v>
      </c>
      <c r="E29" s="33" t="s">
        <v>105</v>
      </c>
      <c r="F29" s="111" t="s">
        <v>37</v>
      </c>
      <c r="G29" s="112" t="s">
        <v>472</v>
      </c>
      <c r="H29" s="111" t="s">
        <v>58</v>
      </c>
      <c r="I29" s="111" t="s">
        <v>37</v>
      </c>
      <c r="J29" s="112" t="s">
        <v>472</v>
      </c>
      <c r="K29" s="111" t="s">
        <v>58</v>
      </c>
      <c r="L29" s="111"/>
      <c r="M29" s="112" t="s">
        <v>51</v>
      </c>
      <c r="N29" s="111"/>
      <c r="O29" s="113" t="s">
        <v>59</v>
      </c>
      <c r="Q29" s="32"/>
    </row>
    <row r="30" spans="1:17" ht="45.6" customHeight="1" outlineLevel="1">
      <c r="A30" s="31" t="s">
        <v>1060</v>
      </c>
      <c r="B30" s="31" t="s">
        <v>1061</v>
      </c>
      <c r="C30" s="31" t="s">
        <v>1054</v>
      </c>
      <c r="D30" s="33" t="s">
        <v>1062</v>
      </c>
      <c r="E30" s="33" t="s">
        <v>105</v>
      </c>
      <c r="F30" s="111" t="s">
        <v>37</v>
      </c>
      <c r="G30" s="112" t="s">
        <v>472</v>
      </c>
      <c r="H30" s="111" t="s">
        <v>58</v>
      </c>
      <c r="I30" s="111" t="s">
        <v>37</v>
      </c>
      <c r="J30" s="112" t="s">
        <v>472</v>
      </c>
      <c r="K30" s="111" t="s">
        <v>58</v>
      </c>
      <c r="L30" s="111"/>
      <c r="M30" s="112" t="s">
        <v>51</v>
      </c>
      <c r="N30" s="111"/>
      <c r="O30" s="113" t="s">
        <v>59</v>
      </c>
      <c r="Q30" s="32"/>
    </row>
    <row r="31" spans="1:17" ht="45.6" customHeight="1" outlineLevel="1">
      <c r="A31" s="31" t="s">
        <v>1063</v>
      </c>
      <c r="B31" s="31" t="s">
        <v>1064</v>
      </c>
      <c r="C31" s="31" t="s">
        <v>1065</v>
      </c>
      <c r="D31" s="33" t="s">
        <v>489</v>
      </c>
      <c r="E31" s="33" t="s">
        <v>632</v>
      </c>
      <c r="F31" s="111" t="s">
        <v>37</v>
      </c>
      <c r="G31" s="112" t="s">
        <v>472</v>
      </c>
      <c r="H31" s="111" t="s">
        <v>58</v>
      </c>
      <c r="I31" s="111" t="s">
        <v>37</v>
      </c>
      <c r="J31" s="112" t="s">
        <v>472</v>
      </c>
      <c r="K31" s="111" t="s">
        <v>58</v>
      </c>
      <c r="L31" s="111"/>
      <c r="M31" s="112" t="s">
        <v>51</v>
      </c>
      <c r="N31" s="111"/>
      <c r="O31" s="113" t="s">
        <v>59</v>
      </c>
      <c r="Q31" s="32"/>
    </row>
    <row r="32" spans="1:17" ht="32.4" customHeight="1" outlineLevel="1">
      <c r="A32" s="31" t="s">
        <v>1066</v>
      </c>
      <c r="B32" s="31" t="s">
        <v>1067</v>
      </c>
      <c r="C32" s="31" t="s">
        <v>1068</v>
      </c>
      <c r="D32" s="33" t="s">
        <v>500</v>
      </c>
      <c r="E32" s="33" t="s">
        <v>632</v>
      </c>
      <c r="F32" s="111" t="s">
        <v>37</v>
      </c>
      <c r="G32" s="112" t="s">
        <v>472</v>
      </c>
      <c r="H32" s="111" t="s">
        <v>58</v>
      </c>
      <c r="I32" s="111" t="s">
        <v>37</v>
      </c>
      <c r="J32" s="112" t="s">
        <v>472</v>
      </c>
      <c r="K32" s="111" t="s">
        <v>58</v>
      </c>
      <c r="L32" s="111"/>
      <c r="M32" s="112" t="s">
        <v>51</v>
      </c>
      <c r="N32" s="111"/>
      <c r="O32" s="113" t="s">
        <v>59</v>
      </c>
      <c r="Q32" s="32"/>
    </row>
  </sheetData>
  <mergeCells count="3">
    <mergeCell ref="B2:E2"/>
    <mergeCell ref="B3:E3"/>
    <mergeCell ref="B4:E4"/>
  </mergeCells>
  <dataValidations count="3">
    <dataValidation allowBlank="1" showErrorMessage="1" sqref="F10 I10 L10" xr:uid="{286646C1-F3D5-41CD-91C3-D24C2CED1017}"/>
    <dataValidation type="list" allowBlank="1" showErrorMessage="1" sqref="G2:G3 G9 G33:G160 J2:J3 J9 J33:J160 M2:M3 M9 M33:M160" xr:uid="{E7A66FC1-944C-4BDE-88E3-B5A7321E4AD4}">
      <formula1>$R$2:$R$5</formula1>
      <formula2>0</formula2>
    </dataValidation>
    <dataValidation type="list" allowBlank="1" showInputMessage="1" showErrorMessage="1" sqref="F11:F32 I11:I32 L11:L32" xr:uid="{D5B13ECC-384D-4C8C-904C-D6E7D84BEC38}">
      <formula1>$R$2:$R$5</formula1>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D2901-129C-4826-95B3-9F78A032C6AB}">
  <sheetPr>
    <outlinePr summaryBelow="0" summaryRight="0"/>
  </sheetPr>
  <dimension ref="A1:R33"/>
  <sheetViews>
    <sheetView zoomScale="85" zoomScaleNormal="85" workbookViewId="0">
      <pane ySplit="10" topLeftCell="A11" activePane="bottomLeft" state="frozen"/>
      <selection pane="bottomLeft"/>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14.77734375" style="1" customWidth="1" outlineLevel="1"/>
    <col min="9" max="9" width="9.33203125" style="1" customWidth="1"/>
    <col min="10" max="10" width="10.6640625" style="1" customWidth="1" outlineLevel="1"/>
    <col min="11" max="11" width="14.77734375" style="1" customWidth="1" outlineLevel="1"/>
    <col min="12" max="12" width="9.33203125" style="1" customWidth="1"/>
    <col min="13" max="13" width="10.6640625" style="1" customWidth="1" outlineLevel="1"/>
    <col min="14" max="14" width="14.77734375" style="1" customWidth="1" outlineLevel="1"/>
    <col min="15" max="15" width="28.6640625" style="1" customWidth="1"/>
    <col min="16" max="16" width="10.109375" style="1" customWidth="1"/>
    <col min="17" max="17" width="8.109375" style="23" customWidth="1"/>
    <col min="18" max="18" width="7.6640625" style="1" hidden="1" customWidth="1"/>
    <col min="19" max="16384" width="9" style="1"/>
  </cols>
  <sheetData>
    <row r="1" spans="1:18" ht="13.8" thickBot="1"/>
    <row r="2" spans="1:18" s="25" customFormat="1" ht="15" customHeight="1">
      <c r="A2" s="77" t="s">
        <v>35</v>
      </c>
      <c r="B2" s="105" t="s">
        <v>1069</v>
      </c>
      <c r="C2" s="105"/>
      <c r="D2" s="105"/>
      <c r="E2" s="106"/>
      <c r="F2" s="67"/>
      <c r="G2" s="61"/>
      <c r="H2" s="9"/>
      <c r="I2" s="67"/>
      <c r="J2" s="61"/>
      <c r="K2" s="9"/>
      <c r="L2" s="67"/>
      <c r="M2" s="61"/>
      <c r="N2" s="9"/>
      <c r="O2" s="9"/>
      <c r="P2" s="9"/>
      <c r="Q2" s="24"/>
      <c r="R2" s="25" t="s">
        <v>37</v>
      </c>
    </row>
    <row r="3" spans="1:18" s="25" customFormat="1" ht="28.05" customHeight="1">
      <c r="A3" s="78" t="s">
        <v>20</v>
      </c>
      <c r="B3" s="107" t="s">
        <v>1070</v>
      </c>
      <c r="C3" s="107"/>
      <c r="D3" s="107"/>
      <c r="E3" s="108"/>
      <c r="F3" s="67"/>
      <c r="G3" s="61"/>
      <c r="H3" s="9"/>
      <c r="I3" s="67"/>
      <c r="J3" s="61"/>
      <c r="K3" s="9"/>
      <c r="L3" s="67"/>
      <c r="M3" s="61"/>
      <c r="N3" s="9"/>
      <c r="O3" s="9"/>
      <c r="P3" s="9"/>
      <c r="Q3" s="24"/>
      <c r="R3" s="25" t="s">
        <v>38</v>
      </c>
    </row>
    <row r="4" spans="1:18" s="25" customFormat="1" ht="18" customHeight="1">
      <c r="A4" s="78" t="s">
        <v>45</v>
      </c>
      <c r="B4" s="107">
        <f>COUNTA(B11:B2014)</f>
        <v>21</v>
      </c>
      <c r="C4" s="107"/>
      <c r="D4" s="107"/>
      <c r="E4" s="108"/>
      <c r="F4" s="67"/>
      <c r="G4" s="61"/>
      <c r="H4" s="9"/>
      <c r="I4" s="67"/>
      <c r="J4" s="61"/>
      <c r="K4" s="9"/>
      <c r="L4" s="67"/>
      <c r="M4" s="61"/>
      <c r="N4" s="9"/>
      <c r="O4" s="9"/>
      <c r="P4" s="9"/>
      <c r="Q4" s="24"/>
      <c r="R4" s="25" t="s">
        <v>36</v>
      </c>
    </row>
    <row r="5" spans="1:18" s="25" customFormat="1" ht="19.5" customHeight="1">
      <c r="A5" s="71" t="s">
        <v>39</v>
      </c>
      <c r="B5" s="69" t="s">
        <v>37</v>
      </c>
      <c r="C5" s="69" t="s">
        <v>38</v>
      </c>
      <c r="D5" s="69" t="s">
        <v>36</v>
      </c>
      <c r="E5" s="72" t="s">
        <v>22</v>
      </c>
      <c r="F5" s="62"/>
      <c r="G5" s="62"/>
      <c r="H5" s="26"/>
      <c r="I5" s="62"/>
      <c r="J5" s="62"/>
      <c r="K5" s="26"/>
      <c r="L5" s="62"/>
      <c r="M5" s="62"/>
      <c r="N5" s="26"/>
      <c r="O5" s="26"/>
      <c r="P5" s="26"/>
      <c r="Q5" s="27"/>
      <c r="R5" s="25" t="s">
        <v>22</v>
      </c>
    </row>
    <row r="6" spans="1:18" s="25" customFormat="1" ht="15" customHeight="1">
      <c r="A6" s="71" t="s">
        <v>40</v>
      </c>
      <c r="B6" s="70">
        <f>COUNTIF($F$11:$F$2014,B$5)</f>
        <v>21</v>
      </c>
      <c r="C6" s="70">
        <f>COUNTIF($F$11:$F$2014,C$5)</f>
        <v>0</v>
      </c>
      <c r="D6" s="70">
        <f>COUNTIF($F$11:$F$2014,D$5)</f>
        <v>0</v>
      </c>
      <c r="E6" s="76">
        <f>COUNTIF($F$11:$F$2014,E$5)</f>
        <v>0</v>
      </c>
      <c r="F6" s="63"/>
      <c r="G6" s="63"/>
      <c r="H6" s="26"/>
      <c r="I6" s="63"/>
      <c r="J6" s="63"/>
      <c r="K6" s="26"/>
      <c r="L6" s="63"/>
      <c r="M6" s="63"/>
      <c r="N6" s="26"/>
      <c r="O6" s="26"/>
      <c r="P6" s="26"/>
      <c r="Q6" s="27"/>
    </row>
    <row r="7" spans="1:18" s="25" customFormat="1" ht="15" customHeight="1">
      <c r="A7" s="71" t="s">
        <v>42</v>
      </c>
      <c r="B7" s="70">
        <f>COUNTIF($I$11:$I$2014,B$5)</f>
        <v>21</v>
      </c>
      <c r="C7" s="70">
        <f>COUNTIF($I$11:$I$2014,C$5)</f>
        <v>0</v>
      </c>
      <c r="D7" s="70">
        <f>COUNTIF($I$11:$I$2014,D$5)</f>
        <v>0</v>
      </c>
      <c r="E7" s="76">
        <f>COUNTIF($I$11:$I$2014,E$5)</f>
        <v>0</v>
      </c>
      <c r="F7" s="63"/>
      <c r="G7" s="63"/>
      <c r="H7" s="26"/>
      <c r="I7" s="63"/>
      <c r="J7" s="63"/>
      <c r="K7" s="26"/>
      <c r="L7" s="63"/>
      <c r="M7" s="63"/>
      <c r="N7" s="26"/>
      <c r="O7" s="26"/>
      <c r="P7" s="26"/>
      <c r="Q7" s="27"/>
    </row>
    <row r="8" spans="1:18" s="25" customFormat="1" ht="15" customHeight="1" thickBot="1">
      <c r="A8" s="73" t="s">
        <v>43</v>
      </c>
      <c r="B8" s="74">
        <f>COUNTIF($L$11:$L$2014,B$5)</f>
        <v>0</v>
      </c>
      <c r="C8" s="74">
        <f>COUNTIF($L$11:$L$2014,C$5)</f>
        <v>0</v>
      </c>
      <c r="D8" s="74">
        <f>COUNTIF($L$11:$L$2014,D$5)</f>
        <v>0</v>
      </c>
      <c r="E8" s="75">
        <f>COUNTIF($L$11:$L$2014,E$5)</f>
        <v>0</v>
      </c>
      <c r="F8" s="63"/>
      <c r="G8" s="63"/>
      <c r="H8" s="26"/>
      <c r="I8" s="63"/>
      <c r="J8" s="63"/>
      <c r="K8" s="26"/>
      <c r="L8" s="63"/>
      <c r="M8" s="63"/>
      <c r="N8" s="26"/>
      <c r="O8" s="26"/>
      <c r="P8" s="26"/>
      <c r="Q8" s="27"/>
    </row>
    <row r="9" spans="1:18" s="25" customFormat="1" ht="15" customHeight="1">
      <c r="A9" s="26"/>
      <c r="B9" s="26"/>
      <c r="C9" s="26"/>
      <c r="D9" s="26"/>
      <c r="E9" s="26"/>
      <c r="F9" s="28"/>
      <c r="G9" s="26"/>
      <c r="H9" s="26"/>
      <c r="I9" s="28"/>
      <c r="J9" s="26"/>
      <c r="K9" s="26"/>
      <c r="L9" s="28"/>
      <c r="M9" s="26"/>
      <c r="N9" s="26"/>
      <c r="O9" s="26"/>
      <c r="P9" s="26"/>
      <c r="Q9" s="27"/>
    </row>
    <row r="10" spans="1:18" s="25" customFormat="1" ht="25.5" customHeight="1">
      <c r="A10" s="68" t="s">
        <v>44</v>
      </c>
      <c r="B10" s="68" t="s">
        <v>23</v>
      </c>
      <c r="C10" s="68" t="s">
        <v>34</v>
      </c>
      <c r="D10" s="68" t="s">
        <v>33</v>
      </c>
      <c r="E10" s="68" t="s">
        <v>41</v>
      </c>
      <c r="F10" s="68" t="s">
        <v>40</v>
      </c>
      <c r="G10" s="68" t="s">
        <v>24</v>
      </c>
      <c r="H10" s="68" t="s">
        <v>21</v>
      </c>
      <c r="I10" s="68" t="s">
        <v>42</v>
      </c>
      <c r="J10" s="68" t="s">
        <v>24</v>
      </c>
      <c r="K10" s="68" t="s">
        <v>21</v>
      </c>
      <c r="L10" s="68" t="s">
        <v>43</v>
      </c>
      <c r="M10" s="68" t="s">
        <v>24</v>
      </c>
      <c r="N10" s="68" t="s">
        <v>21</v>
      </c>
      <c r="O10" s="68" t="s">
        <v>25</v>
      </c>
      <c r="Q10" s="29"/>
    </row>
    <row r="11" spans="1:18" s="25" customFormat="1" ht="15.75" customHeight="1">
      <c r="A11" s="64" t="s">
        <v>1071</v>
      </c>
      <c r="B11" s="64"/>
      <c r="C11" s="65"/>
      <c r="D11" s="65"/>
      <c r="E11" s="65"/>
      <c r="F11" s="109"/>
      <c r="G11" s="110" t="s">
        <v>51</v>
      </c>
      <c r="H11" s="109"/>
      <c r="I11" s="109"/>
      <c r="J11" s="110" t="s">
        <v>51</v>
      </c>
      <c r="K11" s="109"/>
      <c r="L11" s="109"/>
      <c r="M11" s="110" t="s">
        <v>51</v>
      </c>
      <c r="N11" s="109"/>
      <c r="O11" s="66"/>
      <c r="Q11" s="30"/>
    </row>
    <row r="12" spans="1:18" ht="32.4" customHeight="1" outlineLevel="1">
      <c r="A12" s="31" t="s">
        <v>1072</v>
      </c>
      <c r="B12" s="31" t="s">
        <v>1073</v>
      </c>
      <c r="C12" s="31" t="s">
        <v>1074</v>
      </c>
      <c r="D12" s="33" t="s">
        <v>509</v>
      </c>
      <c r="E12" s="33" t="s">
        <v>632</v>
      </c>
      <c r="F12" s="111" t="s">
        <v>37</v>
      </c>
      <c r="G12" s="112" t="s">
        <v>472</v>
      </c>
      <c r="H12" s="111" t="s">
        <v>58</v>
      </c>
      <c r="I12" s="111" t="s">
        <v>37</v>
      </c>
      <c r="J12" s="112" t="s">
        <v>472</v>
      </c>
      <c r="K12" s="111" t="s">
        <v>58</v>
      </c>
      <c r="L12" s="111"/>
      <c r="M12" s="112" t="s">
        <v>51</v>
      </c>
      <c r="N12" s="111"/>
      <c r="O12" s="113" t="s">
        <v>59</v>
      </c>
      <c r="Q12" s="32"/>
    </row>
    <row r="13" spans="1:18" ht="45.6" customHeight="1" outlineLevel="1">
      <c r="A13" s="31" t="s">
        <v>1075</v>
      </c>
      <c r="B13" s="31" t="s">
        <v>1076</v>
      </c>
      <c r="C13" s="31" t="s">
        <v>569</v>
      </c>
      <c r="D13" s="33" t="s">
        <v>906</v>
      </c>
      <c r="E13" s="33" t="s">
        <v>632</v>
      </c>
      <c r="F13" s="111" t="s">
        <v>37</v>
      </c>
      <c r="G13" s="112" t="s">
        <v>472</v>
      </c>
      <c r="H13" s="111" t="s">
        <v>58</v>
      </c>
      <c r="I13" s="111" t="s">
        <v>37</v>
      </c>
      <c r="J13" s="112" t="s">
        <v>472</v>
      </c>
      <c r="K13" s="111" t="s">
        <v>58</v>
      </c>
      <c r="L13" s="111"/>
      <c r="M13" s="112" t="s">
        <v>51</v>
      </c>
      <c r="N13" s="111"/>
      <c r="O13" s="113" t="s">
        <v>59</v>
      </c>
      <c r="Q13" s="32"/>
    </row>
    <row r="14" spans="1:18" ht="32.4" customHeight="1" outlineLevel="1">
      <c r="A14" s="31" t="s">
        <v>1077</v>
      </c>
      <c r="B14" s="31" t="s">
        <v>1078</v>
      </c>
      <c r="C14" s="31" t="s">
        <v>1079</v>
      </c>
      <c r="D14" s="33" t="s">
        <v>500</v>
      </c>
      <c r="E14" s="33" t="s">
        <v>632</v>
      </c>
      <c r="F14" s="111" t="s">
        <v>37</v>
      </c>
      <c r="G14" s="112" t="s">
        <v>472</v>
      </c>
      <c r="H14" s="111" t="s">
        <v>58</v>
      </c>
      <c r="I14" s="111" t="s">
        <v>37</v>
      </c>
      <c r="J14" s="112" t="s">
        <v>472</v>
      </c>
      <c r="K14" s="111" t="s">
        <v>58</v>
      </c>
      <c r="L14" s="111"/>
      <c r="M14" s="112" t="s">
        <v>51</v>
      </c>
      <c r="N14" s="111"/>
      <c r="O14" s="113" t="s">
        <v>59</v>
      </c>
      <c r="Q14" s="32"/>
    </row>
    <row r="15" spans="1:18" ht="32.4" customHeight="1" outlineLevel="1">
      <c r="A15" s="31" t="s">
        <v>1080</v>
      </c>
      <c r="B15" s="31" t="s">
        <v>1081</v>
      </c>
      <c r="C15" s="31" t="s">
        <v>1074</v>
      </c>
      <c r="D15" s="33" t="s">
        <v>475</v>
      </c>
      <c r="E15" s="33" t="s">
        <v>632</v>
      </c>
      <c r="F15" s="111" t="s">
        <v>37</v>
      </c>
      <c r="G15" s="112" t="s">
        <v>472</v>
      </c>
      <c r="H15" s="111" t="s">
        <v>58</v>
      </c>
      <c r="I15" s="111" t="s">
        <v>37</v>
      </c>
      <c r="J15" s="112" t="s">
        <v>472</v>
      </c>
      <c r="K15" s="111" t="s">
        <v>58</v>
      </c>
      <c r="L15" s="111"/>
      <c r="M15" s="112" t="s">
        <v>51</v>
      </c>
      <c r="N15" s="111"/>
      <c r="O15" s="113" t="s">
        <v>59</v>
      </c>
      <c r="Q15" s="32"/>
    </row>
    <row r="16" spans="1:18" ht="32.4" customHeight="1" outlineLevel="1">
      <c r="A16" s="31" t="s">
        <v>1082</v>
      </c>
      <c r="B16" s="31" t="s">
        <v>1083</v>
      </c>
      <c r="C16" s="31" t="s">
        <v>1074</v>
      </c>
      <c r="D16" s="33" t="s">
        <v>475</v>
      </c>
      <c r="E16" s="33" t="s">
        <v>632</v>
      </c>
      <c r="F16" s="111" t="s">
        <v>37</v>
      </c>
      <c r="G16" s="112" t="s">
        <v>472</v>
      </c>
      <c r="H16" s="111" t="s">
        <v>58</v>
      </c>
      <c r="I16" s="111" t="s">
        <v>37</v>
      </c>
      <c r="J16" s="112" t="s">
        <v>472</v>
      </c>
      <c r="K16" s="111" t="s">
        <v>58</v>
      </c>
      <c r="L16" s="111"/>
      <c r="M16" s="112" t="s">
        <v>51</v>
      </c>
      <c r="N16" s="111"/>
      <c r="O16" s="113" t="s">
        <v>59</v>
      </c>
      <c r="Q16" s="32"/>
    </row>
    <row r="17" spans="1:17" ht="32.4" customHeight="1" outlineLevel="1">
      <c r="A17" s="31" t="s">
        <v>1084</v>
      </c>
      <c r="B17" s="31" t="s">
        <v>658</v>
      </c>
      <c r="C17" s="31" t="s">
        <v>1074</v>
      </c>
      <c r="D17" s="33" t="s">
        <v>475</v>
      </c>
      <c r="E17" s="33" t="s">
        <v>632</v>
      </c>
      <c r="F17" s="111" t="s">
        <v>37</v>
      </c>
      <c r="G17" s="112" t="s">
        <v>472</v>
      </c>
      <c r="H17" s="111" t="s">
        <v>58</v>
      </c>
      <c r="I17" s="111" t="s">
        <v>37</v>
      </c>
      <c r="J17" s="112" t="s">
        <v>472</v>
      </c>
      <c r="K17" s="111" t="s">
        <v>58</v>
      </c>
      <c r="L17" s="111"/>
      <c r="M17" s="112" t="s">
        <v>51</v>
      </c>
      <c r="N17" s="111"/>
      <c r="O17" s="113" t="s">
        <v>59</v>
      </c>
      <c r="Q17" s="32"/>
    </row>
    <row r="18" spans="1:17" ht="32.4" customHeight="1" outlineLevel="1">
      <c r="A18" s="31" t="s">
        <v>1085</v>
      </c>
      <c r="B18" s="31" t="s">
        <v>1086</v>
      </c>
      <c r="C18" s="31" t="s">
        <v>1087</v>
      </c>
      <c r="D18" s="33" t="s">
        <v>500</v>
      </c>
      <c r="E18" s="33" t="s">
        <v>632</v>
      </c>
      <c r="F18" s="111" t="s">
        <v>37</v>
      </c>
      <c r="G18" s="112" t="s">
        <v>472</v>
      </c>
      <c r="H18" s="111" t="s">
        <v>58</v>
      </c>
      <c r="I18" s="111" t="s">
        <v>37</v>
      </c>
      <c r="J18" s="112" t="s">
        <v>472</v>
      </c>
      <c r="K18" s="111" t="s">
        <v>58</v>
      </c>
      <c r="L18" s="111"/>
      <c r="M18" s="112" t="s">
        <v>51</v>
      </c>
      <c r="N18" s="111"/>
      <c r="O18" s="113" t="s">
        <v>59</v>
      </c>
      <c r="Q18" s="32"/>
    </row>
    <row r="19" spans="1:17" ht="32.4" customHeight="1" outlineLevel="1">
      <c r="A19" s="31" t="s">
        <v>1088</v>
      </c>
      <c r="B19" s="31" t="s">
        <v>1089</v>
      </c>
      <c r="C19" s="31" t="s">
        <v>1090</v>
      </c>
      <c r="D19" s="33" t="s">
        <v>489</v>
      </c>
      <c r="E19" s="33" t="s">
        <v>632</v>
      </c>
      <c r="F19" s="111" t="s">
        <v>37</v>
      </c>
      <c r="G19" s="112" t="s">
        <v>472</v>
      </c>
      <c r="H19" s="111" t="s">
        <v>58</v>
      </c>
      <c r="I19" s="111" t="s">
        <v>37</v>
      </c>
      <c r="J19" s="112" t="s">
        <v>472</v>
      </c>
      <c r="K19" s="111" t="s">
        <v>58</v>
      </c>
      <c r="L19" s="111"/>
      <c r="M19" s="112" t="s">
        <v>51</v>
      </c>
      <c r="N19" s="111"/>
      <c r="O19" s="113" t="s">
        <v>59</v>
      </c>
      <c r="Q19" s="32"/>
    </row>
    <row r="20" spans="1:17" ht="32.4" customHeight="1" outlineLevel="1">
      <c r="A20" s="31" t="s">
        <v>1091</v>
      </c>
      <c r="B20" s="31" t="s">
        <v>1092</v>
      </c>
      <c r="C20" s="31" t="s">
        <v>1093</v>
      </c>
      <c r="D20" s="33" t="s">
        <v>828</v>
      </c>
      <c r="E20" s="33" t="s">
        <v>632</v>
      </c>
      <c r="F20" s="111" t="s">
        <v>37</v>
      </c>
      <c r="G20" s="112" t="s">
        <v>472</v>
      </c>
      <c r="H20" s="111" t="s">
        <v>58</v>
      </c>
      <c r="I20" s="111" t="s">
        <v>37</v>
      </c>
      <c r="J20" s="112" t="s">
        <v>472</v>
      </c>
      <c r="K20" s="111" t="s">
        <v>58</v>
      </c>
      <c r="L20" s="111"/>
      <c r="M20" s="112" t="s">
        <v>51</v>
      </c>
      <c r="N20" s="111"/>
      <c r="O20" s="113" t="s">
        <v>59</v>
      </c>
      <c r="Q20" s="32"/>
    </row>
    <row r="21" spans="1:17" ht="32.4" customHeight="1" outlineLevel="1">
      <c r="A21" s="31" t="s">
        <v>1094</v>
      </c>
      <c r="B21" s="31" t="s">
        <v>1095</v>
      </c>
      <c r="C21" s="31" t="s">
        <v>1093</v>
      </c>
      <c r="D21" s="33" t="s">
        <v>489</v>
      </c>
      <c r="E21" s="33" t="s">
        <v>632</v>
      </c>
      <c r="F21" s="111" t="s">
        <v>37</v>
      </c>
      <c r="G21" s="112" t="s">
        <v>472</v>
      </c>
      <c r="H21" s="111" t="s">
        <v>58</v>
      </c>
      <c r="I21" s="111" t="s">
        <v>37</v>
      </c>
      <c r="J21" s="112" t="s">
        <v>472</v>
      </c>
      <c r="K21" s="111" t="s">
        <v>58</v>
      </c>
      <c r="L21" s="111"/>
      <c r="M21" s="112" t="s">
        <v>51</v>
      </c>
      <c r="N21" s="111"/>
      <c r="O21" s="113" t="s">
        <v>59</v>
      </c>
      <c r="Q21" s="32"/>
    </row>
    <row r="22" spans="1:17" s="25" customFormat="1" ht="15.75" customHeight="1">
      <c r="A22" s="64" t="s">
        <v>1096</v>
      </c>
      <c r="B22" s="64"/>
      <c r="C22" s="65"/>
      <c r="D22" s="65"/>
      <c r="E22" s="65"/>
      <c r="F22" s="109"/>
      <c r="G22" s="110" t="s">
        <v>51</v>
      </c>
      <c r="H22" s="109"/>
      <c r="I22" s="109"/>
      <c r="J22" s="110" t="s">
        <v>51</v>
      </c>
      <c r="K22" s="109"/>
      <c r="L22" s="109"/>
      <c r="M22" s="110" t="s">
        <v>51</v>
      </c>
      <c r="N22" s="109"/>
      <c r="O22" s="66"/>
      <c r="Q22" s="30"/>
    </row>
    <row r="23" spans="1:17" ht="32.4" customHeight="1" outlineLevel="1">
      <c r="A23" s="31" t="s">
        <v>1097</v>
      </c>
      <c r="B23" s="31" t="s">
        <v>1098</v>
      </c>
      <c r="C23" s="31" t="s">
        <v>1099</v>
      </c>
      <c r="D23" s="33" t="s">
        <v>528</v>
      </c>
      <c r="E23" s="33" t="s">
        <v>105</v>
      </c>
      <c r="F23" s="111" t="s">
        <v>37</v>
      </c>
      <c r="G23" s="112" t="s">
        <v>472</v>
      </c>
      <c r="H23" s="111" t="s">
        <v>58</v>
      </c>
      <c r="I23" s="111" t="s">
        <v>37</v>
      </c>
      <c r="J23" s="112" t="s">
        <v>472</v>
      </c>
      <c r="K23" s="111" t="s">
        <v>58</v>
      </c>
      <c r="L23" s="111"/>
      <c r="M23" s="112" t="s">
        <v>51</v>
      </c>
      <c r="N23" s="111"/>
      <c r="O23" s="113" t="s">
        <v>59</v>
      </c>
      <c r="Q23" s="32"/>
    </row>
    <row r="24" spans="1:17" ht="32.4" customHeight="1" outlineLevel="1">
      <c r="A24" s="31" t="s">
        <v>1100</v>
      </c>
      <c r="B24" s="31" t="s">
        <v>1101</v>
      </c>
      <c r="C24" s="31" t="s">
        <v>1102</v>
      </c>
      <c r="D24" s="33" t="s">
        <v>528</v>
      </c>
      <c r="E24" s="33" t="s">
        <v>105</v>
      </c>
      <c r="F24" s="111" t="s">
        <v>37</v>
      </c>
      <c r="G24" s="112" t="s">
        <v>472</v>
      </c>
      <c r="H24" s="111" t="s">
        <v>58</v>
      </c>
      <c r="I24" s="111" t="s">
        <v>37</v>
      </c>
      <c r="J24" s="112" t="s">
        <v>472</v>
      </c>
      <c r="K24" s="111" t="s">
        <v>58</v>
      </c>
      <c r="L24" s="111"/>
      <c r="M24" s="112" t="s">
        <v>51</v>
      </c>
      <c r="N24" s="111"/>
      <c r="O24" s="113" t="s">
        <v>59</v>
      </c>
      <c r="Q24" s="32"/>
    </row>
    <row r="25" spans="1:17" ht="32.4" customHeight="1" outlineLevel="1">
      <c r="A25" s="31" t="s">
        <v>1103</v>
      </c>
      <c r="B25" s="31" t="s">
        <v>1104</v>
      </c>
      <c r="C25" s="31" t="s">
        <v>1105</v>
      </c>
      <c r="D25" s="33" t="s">
        <v>546</v>
      </c>
      <c r="E25" s="33" t="s">
        <v>105</v>
      </c>
      <c r="F25" s="111" t="s">
        <v>37</v>
      </c>
      <c r="G25" s="112" t="s">
        <v>472</v>
      </c>
      <c r="H25" s="111" t="s">
        <v>58</v>
      </c>
      <c r="I25" s="111" t="s">
        <v>37</v>
      </c>
      <c r="J25" s="112" t="s">
        <v>472</v>
      </c>
      <c r="K25" s="111" t="s">
        <v>58</v>
      </c>
      <c r="L25" s="111"/>
      <c r="M25" s="112" t="s">
        <v>51</v>
      </c>
      <c r="N25" s="111"/>
      <c r="O25" s="113" t="s">
        <v>59</v>
      </c>
      <c r="Q25" s="32"/>
    </row>
    <row r="26" spans="1:17" ht="32.4" customHeight="1" outlineLevel="1">
      <c r="A26" s="31" t="s">
        <v>1106</v>
      </c>
      <c r="B26" s="31" t="s">
        <v>1107</v>
      </c>
      <c r="C26" s="31" t="s">
        <v>1108</v>
      </c>
      <c r="D26" s="33" t="s">
        <v>598</v>
      </c>
      <c r="E26" s="33" t="s">
        <v>105</v>
      </c>
      <c r="F26" s="111" t="s">
        <v>37</v>
      </c>
      <c r="G26" s="112" t="s">
        <v>472</v>
      </c>
      <c r="H26" s="111" t="s">
        <v>58</v>
      </c>
      <c r="I26" s="111" t="s">
        <v>37</v>
      </c>
      <c r="J26" s="112" t="s">
        <v>472</v>
      </c>
      <c r="K26" s="111" t="s">
        <v>58</v>
      </c>
      <c r="L26" s="111"/>
      <c r="M26" s="112" t="s">
        <v>51</v>
      </c>
      <c r="N26" s="111"/>
      <c r="O26" s="113" t="s">
        <v>59</v>
      </c>
      <c r="Q26" s="32"/>
    </row>
    <row r="27" spans="1:17" ht="32.4" customHeight="1" outlineLevel="1">
      <c r="A27" s="31" t="s">
        <v>1109</v>
      </c>
      <c r="B27" s="31" t="s">
        <v>1110</v>
      </c>
      <c r="C27" s="31" t="s">
        <v>1108</v>
      </c>
      <c r="D27" s="33" t="s">
        <v>475</v>
      </c>
      <c r="E27" s="33" t="s">
        <v>105</v>
      </c>
      <c r="F27" s="111" t="s">
        <v>37</v>
      </c>
      <c r="G27" s="112" t="s">
        <v>472</v>
      </c>
      <c r="H27" s="111" t="s">
        <v>58</v>
      </c>
      <c r="I27" s="111" t="s">
        <v>37</v>
      </c>
      <c r="J27" s="112" t="s">
        <v>472</v>
      </c>
      <c r="K27" s="111" t="s">
        <v>58</v>
      </c>
      <c r="L27" s="111"/>
      <c r="M27" s="112" t="s">
        <v>51</v>
      </c>
      <c r="N27" s="111"/>
      <c r="O27" s="113" t="s">
        <v>59</v>
      </c>
      <c r="Q27" s="32"/>
    </row>
    <row r="28" spans="1:17" ht="32.4" customHeight="1" outlineLevel="1">
      <c r="A28" s="31" t="s">
        <v>1111</v>
      </c>
      <c r="B28" s="31" t="s">
        <v>1112</v>
      </c>
      <c r="C28" s="31" t="s">
        <v>1113</v>
      </c>
      <c r="D28" s="33" t="s">
        <v>479</v>
      </c>
      <c r="E28" s="33" t="s">
        <v>105</v>
      </c>
      <c r="F28" s="111" t="s">
        <v>37</v>
      </c>
      <c r="G28" s="112" t="s">
        <v>472</v>
      </c>
      <c r="H28" s="111" t="s">
        <v>58</v>
      </c>
      <c r="I28" s="111" t="s">
        <v>37</v>
      </c>
      <c r="J28" s="112" t="s">
        <v>472</v>
      </c>
      <c r="K28" s="111" t="s">
        <v>58</v>
      </c>
      <c r="L28" s="111"/>
      <c r="M28" s="112" t="s">
        <v>51</v>
      </c>
      <c r="N28" s="111"/>
      <c r="O28" s="113" t="s">
        <v>59</v>
      </c>
      <c r="Q28" s="32"/>
    </row>
    <row r="29" spans="1:17" ht="45.6" customHeight="1" outlineLevel="1">
      <c r="A29" s="31" t="s">
        <v>1114</v>
      </c>
      <c r="B29" s="31" t="s">
        <v>1115</v>
      </c>
      <c r="C29" s="31" t="s">
        <v>1116</v>
      </c>
      <c r="D29" s="33" t="s">
        <v>1117</v>
      </c>
      <c r="E29" s="33" t="s">
        <v>105</v>
      </c>
      <c r="F29" s="111" t="s">
        <v>37</v>
      </c>
      <c r="G29" s="112" t="s">
        <v>472</v>
      </c>
      <c r="H29" s="111" t="s">
        <v>58</v>
      </c>
      <c r="I29" s="111" t="s">
        <v>37</v>
      </c>
      <c r="J29" s="112" t="s">
        <v>472</v>
      </c>
      <c r="K29" s="111" t="s">
        <v>58</v>
      </c>
      <c r="L29" s="111"/>
      <c r="M29" s="112" t="s">
        <v>51</v>
      </c>
      <c r="N29" s="111"/>
      <c r="O29" s="113" t="s">
        <v>59</v>
      </c>
      <c r="Q29" s="32"/>
    </row>
    <row r="30" spans="1:17" ht="32.4" customHeight="1" outlineLevel="1">
      <c r="A30" s="31" t="s">
        <v>1118</v>
      </c>
      <c r="B30" s="31" t="s">
        <v>1119</v>
      </c>
      <c r="C30" s="31" t="s">
        <v>1120</v>
      </c>
      <c r="D30" s="33" t="s">
        <v>489</v>
      </c>
      <c r="E30" s="33" t="s">
        <v>105</v>
      </c>
      <c r="F30" s="111" t="s">
        <v>37</v>
      </c>
      <c r="G30" s="112" t="s">
        <v>472</v>
      </c>
      <c r="H30" s="111" t="s">
        <v>58</v>
      </c>
      <c r="I30" s="111" t="s">
        <v>37</v>
      </c>
      <c r="J30" s="112" t="s">
        <v>472</v>
      </c>
      <c r="K30" s="111" t="s">
        <v>58</v>
      </c>
      <c r="L30" s="111"/>
      <c r="M30" s="112" t="s">
        <v>51</v>
      </c>
      <c r="N30" s="111"/>
      <c r="O30" s="113" t="s">
        <v>59</v>
      </c>
      <c r="Q30" s="32"/>
    </row>
    <row r="31" spans="1:17" ht="19.2" customHeight="1" outlineLevel="1">
      <c r="A31" s="31" t="s">
        <v>1121</v>
      </c>
      <c r="B31" s="31" t="s">
        <v>1122</v>
      </c>
      <c r="C31" s="31" t="s">
        <v>1123</v>
      </c>
      <c r="D31" s="33" t="s">
        <v>509</v>
      </c>
      <c r="E31" s="33" t="s">
        <v>105</v>
      </c>
      <c r="F31" s="111" t="s">
        <v>37</v>
      </c>
      <c r="G31" s="112" t="s">
        <v>472</v>
      </c>
      <c r="H31" s="111" t="s">
        <v>58</v>
      </c>
      <c r="I31" s="111" t="s">
        <v>37</v>
      </c>
      <c r="J31" s="112" t="s">
        <v>472</v>
      </c>
      <c r="K31" s="111" t="s">
        <v>58</v>
      </c>
      <c r="L31" s="111"/>
      <c r="M31" s="112" t="s">
        <v>51</v>
      </c>
      <c r="N31" s="111"/>
      <c r="O31" s="113" t="s">
        <v>59</v>
      </c>
      <c r="Q31" s="32"/>
    </row>
    <row r="32" spans="1:17" ht="32.4" customHeight="1" outlineLevel="1">
      <c r="A32" s="31" t="s">
        <v>1124</v>
      </c>
      <c r="B32" s="31" t="s">
        <v>1125</v>
      </c>
      <c r="C32" s="31" t="s">
        <v>1126</v>
      </c>
      <c r="D32" s="33" t="s">
        <v>479</v>
      </c>
      <c r="E32" s="33" t="s">
        <v>105</v>
      </c>
      <c r="F32" s="111" t="s">
        <v>37</v>
      </c>
      <c r="G32" s="112" t="s">
        <v>472</v>
      </c>
      <c r="H32" s="111" t="s">
        <v>58</v>
      </c>
      <c r="I32" s="111" t="s">
        <v>37</v>
      </c>
      <c r="J32" s="112" t="s">
        <v>472</v>
      </c>
      <c r="K32" s="111" t="s">
        <v>58</v>
      </c>
      <c r="L32" s="111"/>
      <c r="M32" s="112" t="s">
        <v>51</v>
      </c>
      <c r="N32" s="111"/>
      <c r="O32" s="113" t="s">
        <v>59</v>
      </c>
      <c r="Q32" s="32"/>
    </row>
    <row r="33" spans="1:17" ht="32.4" customHeight="1" outlineLevel="1">
      <c r="A33" s="31" t="s">
        <v>1127</v>
      </c>
      <c r="B33" s="31" t="s">
        <v>1128</v>
      </c>
      <c r="C33" s="31" t="s">
        <v>1129</v>
      </c>
      <c r="D33" s="33" t="s">
        <v>528</v>
      </c>
      <c r="E33" s="33" t="s">
        <v>105</v>
      </c>
      <c r="F33" s="111" t="s">
        <v>37</v>
      </c>
      <c r="G33" s="112" t="s">
        <v>472</v>
      </c>
      <c r="H33" s="111" t="s">
        <v>58</v>
      </c>
      <c r="I33" s="111" t="s">
        <v>37</v>
      </c>
      <c r="J33" s="112" t="s">
        <v>472</v>
      </c>
      <c r="K33" s="111" t="s">
        <v>58</v>
      </c>
      <c r="L33" s="111"/>
      <c r="M33" s="112" t="s">
        <v>51</v>
      </c>
      <c r="N33" s="111"/>
      <c r="O33" s="113" t="s">
        <v>59</v>
      </c>
      <c r="Q33" s="32"/>
    </row>
  </sheetData>
  <mergeCells count="3">
    <mergeCell ref="B2:E2"/>
    <mergeCell ref="B3:E3"/>
    <mergeCell ref="B4:E4"/>
  </mergeCells>
  <dataValidations count="3">
    <dataValidation allowBlank="1" showErrorMessage="1" sqref="F10 I10 L10" xr:uid="{34263974-5088-4C6B-8755-02C0DD13460E}"/>
    <dataValidation type="list" allowBlank="1" showErrorMessage="1" sqref="G2:G3 G9 G34:G161 J2:J3 J9 J34:J161 M2:M3 M9 M34:M161" xr:uid="{F1E7A302-B549-44D3-B9C6-7C8737028B42}">
      <formula1>$R$2:$R$5</formula1>
      <formula2>0</formula2>
    </dataValidation>
    <dataValidation type="list" allowBlank="1" showInputMessage="1" showErrorMessage="1" sqref="F11:F33 I11:I33 L11:L33" xr:uid="{EA821D02-86F3-40DC-A107-40389E3C5B0A}">
      <formula1>$R$2:$R$5</formula1>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940F7-5FC7-4F48-82D1-A793C34810FF}">
  <sheetPr>
    <outlinePr summaryBelow="0" summaryRight="0"/>
  </sheetPr>
  <dimension ref="A1:R26"/>
  <sheetViews>
    <sheetView zoomScale="85" zoomScaleNormal="85" workbookViewId="0">
      <pane ySplit="10" topLeftCell="A11" activePane="bottomLeft" state="frozen"/>
      <selection pane="bottomLeft"/>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14.77734375" style="1" customWidth="1" outlineLevel="1"/>
    <col min="9" max="9" width="9.33203125" style="1" customWidth="1"/>
    <col min="10" max="10" width="10.6640625" style="1" customWidth="1" outlineLevel="1"/>
    <col min="11" max="11" width="14.77734375" style="1" customWidth="1" outlineLevel="1"/>
    <col min="12" max="12" width="9.33203125" style="1" customWidth="1"/>
    <col min="13" max="13" width="10.6640625" style="1" customWidth="1" outlineLevel="1"/>
    <col min="14" max="14" width="14.77734375" style="1" customWidth="1" outlineLevel="1"/>
    <col min="15" max="15" width="28.6640625" style="1" customWidth="1"/>
    <col min="16" max="16" width="10.109375" style="1" customWidth="1"/>
    <col min="17" max="17" width="8.109375" style="23" customWidth="1"/>
    <col min="18" max="18" width="7.6640625" style="1" hidden="1" customWidth="1"/>
    <col min="19" max="16384" width="9" style="1"/>
  </cols>
  <sheetData>
    <row r="1" spans="1:18" ht="13.8" thickBot="1"/>
    <row r="2" spans="1:18" s="25" customFormat="1" ht="15" customHeight="1">
      <c r="A2" s="77" t="s">
        <v>35</v>
      </c>
      <c r="B2" s="105" t="s">
        <v>1130</v>
      </c>
      <c r="C2" s="105"/>
      <c r="D2" s="105"/>
      <c r="E2" s="106"/>
      <c r="F2" s="67"/>
      <c r="G2" s="61"/>
      <c r="H2" s="9"/>
      <c r="I2" s="67"/>
      <c r="J2" s="61"/>
      <c r="K2" s="9"/>
      <c r="L2" s="67"/>
      <c r="M2" s="61"/>
      <c r="N2" s="9"/>
      <c r="O2" s="9"/>
      <c r="P2" s="9"/>
      <c r="Q2" s="24"/>
      <c r="R2" s="25" t="s">
        <v>37</v>
      </c>
    </row>
    <row r="3" spans="1:18" s="25" customFormat="1" ht="28.05" customHeight="1">
      <c r="A3" s="78" t="s">
        <v>20</v>
      </c>
      <c r="B3" s="107" t="s">
        <v>1131</v>
      </c>
      <c r="C3" s="107"/>
      <c r="D3" s="107"/>
      <c r="E3" s="108"/>
      <c r="F3" s="67"/>
      <c r="G3" s="61"/>
      <c r="H3" s="9"/>
      <c r="I3" s="67"/>
      <c r="J3" s="61"/>
      <c r="K3" s="9"/>
      <c r="L3" s="67"/>
      <c r="M3" s="61"/>
      <c r="N3" s="9"/>
      <c r="O3" s="9"/>
      <c r="P3" s="9"/>
      <c r="Q3" s="24"/>
      <c r="R3" s="25" t="s">
        <v>38</v>
      </c>
    </row>
    <row r="4" spans="1:18" s="25" customFormat="1" ht="18" customHeight="1">
      <c r="A4" s="78" t="s">
        <v>45</v>
      </c>
      <c r="B4" s="107">
        <f>COUNTA(B11:B2007)</f>
        <v>16</v>
      </c>
      <c r="C4" s="107"/>
      <c r="D4" s="107"/>
      <c r="E4" s="108"/>
      <c r="F4" s="67"/>
      <c r="G4" s="61"/>
      <c r="H4" s="9"/>
      <c r="I4" s="67"/>
      <c r="J4" s="61"/>
      <c r="K4" s="9"/>
      <c r="L4" s="67"/>
      <c r="M4" s="61"/>
      <c r="N4" s="9"/>
      <c r="O4" s="9"/>
      <c r="P4" s="9"/>
      <c r="Q4" s="24"/>
      <c r="R4" s="25" t="s">
        <v>36</v>
      </c>
    </row>
    <row r="5" spans="1:18" s="25" customFormat="1" ht="19.5" customHeight="1">
      <c r="A5" s="71" t="s">
        <v>39</v>
      </c>
      <c r="B5" s="69" t="s">
        <v>37</v>
      </c>
      <c r="C5" s="69" t="s">
        <v>38</v>
      </c>
      <c r="D5" s="69" t="s">
        <v>36</v>
      </c>
      <c r="E5" s="72" t="s">
        <v>22</v>
      </c>
      <c r="F5" s="62"/>
      <c r="G5" s="62"/>
      <c r="H5" s="26"/>
      <c r="I5" s="62"/>
      <c r="J5" s="62"/>
      <c r="K5" s="26"/>
      <c r="L5" s="62"/>
      <c r="M5" s="62"/>
      <c r="N5" s="26"/>
      <c r="O5" s="26"/>
      <c r="P5" s="26"/>
      <c r="Q5" s="27"/>
      <c r="R5" s="25" t="s">
        <v>22</v>
      </c>
    </row>
    <row r="6" spans="1:18" s="25" customFormat="1" ht="15" customHeight="1">
      <c r="A6" s="71" t="s">
        <v>40</v>
      </c>
      <c r="B6" s="70">
        <f>COUNTIF($F$11:$F$2007,B$5)</f>
        <v>16</v>
      </c>
      <c r="C6" s="70">
        <f>COUNTIF($F$11:$F$2007,C$5)</f>
        <v>0</v>
      </c>
      <c r="D6" s="70">
        <f>COUNTIF($F$11:$F$2007,D$5)</f>
        <v>0</v>
      </c>
      <c r="E6" s="76">
        <f>COUNTIF($F$11:$F$2007,E$5)</f>
        <v>0</v>
      </c>
      <c r="F6" s="63"/>
      <c r="G6" s="63"/>
      <c r="H6" s="26"/>
      <c r="I6" s="63"/>
      <c r="J6" s="63"/>
      <c r="K6" s="26"/>
      <c r="L6" s="63"/>
      <c r="M6" s="63"/>
      <c r="N6" s="26"/>
      <c r="O6" s="26"/>
      <c r="P6" s="26"/>
      <c r="Q6" s="27"/>
    </row>
    <row r="7" spans="1:18" s="25" customFormat="1" ht="15" customHeight="1">
      <c r="A7" s="71" t="s">
        <v>42</v>
      </c>
      <c r="B7" s="70">
        <f>COUNTIF($I$11:$I$2007,B$5)</f>
        <v>16</v>
      </c>
      <c r="C7" s="70">
        <f>COUNTIF($I$11:$I$2007,C$5)</f>
        <v>0</v>
      </c>
      <c r="D7" s="70">
        <f>COUNTIF($I$11:$I$2007,D$5)</f>
        <v>0</v>
      </c>
      <c r="E7" s="76">
        <f>COUNTIF($I$11:$I$2007,E$5)</f>
        <v>0</v>
      </c>
      <c r="F7" s="63"/>
      <c r="G7" s="63"/>
      <c r="H7" s="26"/>
      <c r="I7" s="63"/>
      <c r="J7" s="63"/>
      <c r="K7" s="26"/>
      <c r="L7" s="63"/>
      <c r="M7" s="63"/>
      <c r="N7" s="26"/>
      <c r="O7" s="26"/>
      <c r="P7" s="26"/>
      <c r="Q7" s="27"/>
    </row>
    <row r="8" spans="1:18" s="25" customFormat="1" ht="15" customHeight="1" thickBot="1">
      <c r="A8" s="73" t="s">
        <v>43</v>
      </c>
      <c r="B8" s="74">
        <f>COUNTIF($L$11:$L$2007,B$5)</f>
        <v>0</v>
      </c>
      <c r="C8" s="74">
        <f>COUNTIF($L$11:$L$2007,C$5)</f>
        <v>0</v>
      </c>
      <c r="D8" s="74">
        <f>COUNTIF($L$11:$L$2007,D$5)</f>
        <v>0</v>
      </c>
      <c r="E8" s="75">
        <f>COUNTIF($L$11:$L$2007,E$5)</f>
        <v>0</v>
      </c>
      <c r="F8" s="63"/>
      <c r="G8" s="63"/>
      <c r="H8" s="26"/>
      <c r="I8" s="63"/>
      <c r="J8" s="63"/>
      <c r="K8" s="26"/>
      <c r="L8" s="63"/>
      <c r="M8" s="63"/>
      <c r="N8" s="26"/>
      <c r="O8" s="26"/>
      <c r="P8" s="26"/>
      <c r="Q8" s="27"/>
    </row>
    <row r="9" spans="1:18" s="25" customFormat="1" ht="15" customHeight="1">
      <c r="A9" s="26"/>
      <c r="B9" s="26"/>
      <c r="C9" s="26"/>
      <c r="D9" s="26"/>
      <c r="E9" s="26"/>
      <c r="F9" s="28"/>
      <c r="G9" s="26"/>
      <c r="H9" s="26"/>
      <c r="I9" s="28"/>
      <c r="J9" s="26"/>
      <c r="K9" s="26"/>
      <c r="L9" s="28"/>
      <c r="M9" s="26"/>
      <c r="N9" s="26"/>
      <c r="O9" s="26"/>
      <c r="P9" s="26"/>
      <c r="Q9" s="27"/>
    </row>
    <row r="10" spans="1:18" s="25" customFormat="1" ht="25.5" customHeight="1">
      <c r="A10" s="68" t="s">
        <v>44</v>
      </c>
      <c r="B10" s="68" t="s">
        <v>23</v>
      </c>
      <c r="C10" s="68" t="s">
        <v>34</v>
      </c>
      <c r="D10" s="68" t="s">
        <v>33</v>
      </c>
      <c r="E10" s="68" t="s">
        <v>41</v>
      </c>
      <c r="F10" s="68" t="s">
        <v>40</v>
      </c>
      <c r="G10" s="68" t="s">
        <v>24</v>
      </c>
      <c r="H10" s="68" t="s">
        <v>21</v>
      </c>
      <c r="I10" s="68" t="s">
        <v>42</v>
      </c>
      <c r="J10" s="68" t="s">
        <v>24</v>
      </c>
      <c r="K10" s="68" t="s">
        <v>21</v>
      </c>
      <c r="L10" s="68" t="s">
        <v>43</v>
      </c>
      <c r="M10" s="68" t="s">
        <v>24</v>
      </c>
      <c r="N10" s="68" t="s">
        <v>21</v>
      </c>
      <c r="O10" s="68" t="s">
        <v>25</v>
      </c>
      <c r="Q10" s="29"/>
    </row>
    <row r="11" spans="1:18" ht="72" customHeight="1" outlineLevel="1">
      <c r="A11" s="31" t="s">
        <v>1132</v>
      </c>
      <c r="B11" s="31" t="s">
        <v>1133</v>
      </c>
      <c r="C11" s="31" t="s">
        <v>1134</v>
      </c>
      <c r="D11" s="33" t="s">
        <v>1135</v>
      </c>
      <c r="E11" s="33" t="s">
        <v>1136</v>
      </c>
      <c r="F11" s="111" t="s">
        <v>37</v>
      </c>
      <c r="G11" s="112" t="s">
        <v>472</v>
      </c>
      <c r="H11" s="111" t="s">
        <v>58</v>
      </c>
      <c r="I11" s="111" t="s">
        <v>37</v>
      </c>
      <c r="J11" s="112" t="s">
        <v>472</v>
      </c>
      <c r="K11" s="111" t="s">
        <v>58</v>
      </c>
      <c r="L11" s="111"/>
      <c r="M11" s="112" t="s">
        <v>51</v>
      </c>
      <c r="N11" s="111"/>
      <c r="O11" s="113" t="s">
        <v>59</v>
      </c>
      <c r="Q11" s="32"/>
    </row>
    <row r="12" spans="1:18" ht="72" customHeight="1" outlineLevel="1">
      <c r="A12" s="31" t="s">
        <v>1137</v>
      </c>
      <c r="B12" s="31" t="s">
        <v>1138</v>
      </c>
      <c r="C12" s="31" t="s">
        <v>1134</v>
      </c>
      <c r="D12" s="33" t="s">
        <v>1034</v>
      </c>
      <c r="E12" s="33" t="s">
        <v>1136</v>
      </c>
      <c r="F12" s="111" t="s">
        <v>37</v>
      </c>
      <c r="G12" s="112" t="s">
        <v>472</v>
      </c>
      <c r="H12" s="111" t="s">
        <v>58</v>
      </c>
      <c r="I12" s="111" t="s">
        <v>37</v>
      </c>
      <c r="J12" s="112" t="s">
        <v>472</v>
      </c>
      <c r="K12" s="111" t="s">
        <v>58</v>
      </c>
      <c r="L12" s="111"/>
      <c r="M12" s="112" t="s">
        <v>51</v>
      </c>
      <c r="N12" s="111"/>
      <c r="O12" s="113" t="s">
        <v>59</v>
      </c>
      <c r="Q12" s="32"/>
    </row>
    <row r="13" spans="1:18" ht="72" customHeight="1" outlineLevel="1">
      <c r="A13" s="31" t="s">
        <v>1139</v>
      </c>
      <c r="B13" s="31" t="s">
        <v>1140</v>
      </c>
      <c r="C13" s="31" t="s">
        <v>1141</v>
      </c>
      <c r="D13" s="33" t="s">
        <v>1034</v>
      </c>
      <c r="E13" s="33" t="s">
        <v>1136</v>
      </c>
      <c r="F13" s="111" t="s">
        <v>37</v>
      </c>
      <c r="G13" s="112" t="s">
        <v>472</v>
      </c>
      <c r="H13" s="111" t="s">
        <v>58</v>
      </c>
      <c r="I13" s="111" t="s">
        <v>37</v>
      </c>
      <c r="J13" s="112" t="s">
        <v>472</v>
      </c>
      <c r="K13" s="111" t="s">
        <v>58</v>
      </c>
      <c r="L13" s="111"/>
      <c r="M13" s="112" t="s">
        <v>51</v>
      </c>
      <c r="N13" s="111"/>
      <c r="O13" s="113" t="s">
        <v>59</v>
      </c>
      <c r="Q13" s="32"/>
    </row>
    <row r="14" spans="1:18" ht="72" customHeight="1" outlineLevel="1">
      <c r="A14" s="31" t="s">
        <v>1142</v>
      </c>
      <c r="B14" s="31" t="s">
        <v>1143</v>
      </c>
      <c r="C14" s="31" t="s">
        <v>1134</v>
      </c>
      <c r="D14" s="33" t="s">
        <v>778</v>
      </c>
      <c r="E14" s="33" t="s">
        <v>1136</v>
      </c>
      <c r="F14" s="111" t="s">
        <v>37</v>
      </c>
      <c r="G14" s="112" t="s">
        <v>472</v>
      </c>
      <c r="H14" s="111" t="s">
        <v>58</v>
      </c>
      <c r="I14" s="111" t="s">
        <v>37</v>
      </c>
      <c r="J14" s="112" t="s">
        <v>472</v>
      </c>
      <c r="K14" s="111" t="s">
        <v>58</v>
      </c>
      <c r="L14" s="111"/>
      <c r="M14" s="112" t="s">
        <v>51</v>
      </c>
      <c r="N14" s="111"/>
      <c r="O14" s="113" t="s">
        <v>59</v>
      </c>
      <c r="Q14" s="32"/>
    </row>
    <row r="15" spans="1:18" ht="32.4" customHeight="1" outlineLevel="1">
      <c r="A15" s="31" t="s">
        <v>1144</v>
      </c>
      <c r="B15" s="31" t="s">
        <v>1145</v>
      </c>
      <c r="C15" s="31" t="s">
        <v>1146</v>
      </c>
      <c r="D15" s="33" t="s">
        <v>1147</v>
      </c>
      <c r="E15" s="33" t="s">
        <v>1136</v>
      </c>
      <c r="F15" s="111" t="s">
        <v>37</v>
      </c>
      <c r="G15" s="112" t="s">
        <v>472</v>
      </c>
      <c r="H15" s="111" t="s">
        <v>58</v>
      </c>
      <c r="I15" s="111" t="s">
        <v>37</v>
      </c>
      <c r="J15" s="112" t="s">
        <v>472</v>
      </c>
      <c r="K15" s="111" t="s">
        <v>58</v>
      </c>
      <c r="L15" s="111"/>
      <c r="M15" s="112" t="s">
        <v>51</v>
      </c>
      <c r="N15" s="111"/>
      <c r="O15" s="113" t="s">
        <v>59</v>
      </c>
      <c r="Q15" s="32"/>
    </row>
    <row r="16" spans="1:18" ht="45.6" customHeight="1" outlineLevel="1">
      <c r="A16" s="31" t="s">
        <v>1148</v>
      </c>
      <c r="B16" s="31" t="s">
        <v>1149</v>
      </c>
      <c r="C16" s="31" t="s">
        <v>1150</v>
      </c>
      <c r="D16" s="33" t="s">
        <v>1151</v>
      </c>
      <c r="E16" s="33" t="s">
        <v>105</v>
      </c>
      <c r="F16" s="111" t="s">
        <v>37</v>
      </c>
      <c r="G16" s="112" t="s">
        <v>472</v>
      </c>
      <c r="H16" s="111" t="s">
        <v>58</v>
      </c>
      <c r="I16" s="111" t="s">
        <v>37</v>
      </c>
      <c r="J16" s="112" t="s">
        <v>472</v>
      </c>
      <c r="K16" s="111" t="s">
        <v>58</v>
      </c>
      <c r="L16" s="111"/>
      <c r="M16" s="112" t="s">
        <v>51</v>
      </c>
      <c r="N16" s="111"/>
      <c r="O16" s="113" t="s">
        <v>59</v>
      </c>
      <c r="Q16" s="32"/>
    </row>
    <row r="17" spans="1:17" ht="45.6" customHeight="1" outlineLevel="1">
      <c r="A17" s="31" t="s">
        <v>1152</v>
      </c>
      <c r="B17" s="31" t="s">
        <v>1153</v>
      </c>
      <c r="C17" s="31" t="s">
        <v>1150</v>
      </c>
      <c r="D17" s="33" t="s">
        <v>1154</v>
      </c>
      <c r="E17" s="33" t="s">
        <v>105</v>
      </c>
      <c r="F17" s="111" t="s">
        <v>37</v>
      </c>
      <c r="G17" s="112" t="s">
        <v>472</v>
      </c>
      <c r="H17" s="111" t="s">
        <v>58</v>
      </c>
      <c r="I17" s="111" t="s">
        <v>37</v>
      </c>
      <c r="J17" s="112" t="s">
        <v>472</v>
      </c>
      <c r="K17" s="111" t="s">
        <v>58</v>
      </c>
      <c r="L17" s="111"/>
      <c r="M17" s="112" t="s">
        <v>51</v>
      </c>
      <c r="N17" s="111"/>
      <c r="O17" s="113" t="s">
        <v>59</v>
      </c>
      <c r="Q17" s="32"/>
    </row>
    <row r="18" spans="1:17" ht="58.8" customHeight="1" outlineLevel="1">
      <c r="A18" s="31" t="s">
        <v>1155</v>
      </c>
      <c r="B18" s="31" t="s">
        <v>1156</v>
      </c>
      <c r="C18" s="31" t="s">
        <v>1157</v>
      </c>
      <c r="D18" s="33" t="s">
        <v>1151</v>
      </c>
      <c r="E18" s="33" t="s">
        <v>105</v>
      </c>
      <c r="F18" s="111" t="s">
        <v>37</v>
      </c>
      <c r="G18" s="112" t="s">
        <v>472</v>
      </c>
      <c r="H18" s="111" t="s">
        <v>58</v>
      </c>
      <c r="I18" s="111" t="s">
        <v>37</v>
      </c>
      <c r="J18" s="112" t="s">
        <v>472</v>
      </c>
      <c r="K18" s="111" t="s">
        <v>58</v>
      </c>
      <c r="L18" s="111"/>
      <c r="M18" s="112" t="s">
        <v>51</v>
      </c>
      <c r="N18" s="111"/>
      <c r="O18" s="113" t="s">
        <v>59</v>
      </c>
      <c r="Q18" s="32"/>
    </row>
    <row r="19" spans="1:17" ht="58.8" customHeight="1" outlineLevel="1">
      <c r="A19" s="31" t="s">
        <v>1158</v>
      </c>
      <c r="B19" s="31" t="s">
        <v>1159</v>
      </c>
      <c r="C19" s="31" t="s">
        <v>1157</v>
      </c>
      <c r="D19" s="33" t="s">
        <v>1160</v>
      </c>
      <c r="E19" s="33" t="s">
        <v>105</v>
      </c>
      <c r="F19" s="111" t="s">
        <v>37</v>
      </c>
      <c r="G19" s="112" t="s">
        <v>472</v>
      </c>
      <c r="H19" s="111" t="s">
        <v>58</v>
      </c>
      <c r="I19" s="111" t="s">
        <v>37</v>
      </c>
      <c r="J19" s="112" t="s">
        <v>472</v>
      </c>
      <c r="K19" s="111" t="s">
        <v>58</v>
      </c>
      <c r="L19" s="111"/>
      <c r="M19" s="112" t="s">
        <v>51</v>
      </c>
      <c r="N19" s="111"/>
      <c r="O19" s="113" t="s">
        <v>59</v>
      </c>
      <c r="Q19" s="32"/>
    </row>
    <row r="20" spans="1:17" ht="32.4" customHeight="1" outlineLevel="1">
      <c r="A20" s="31" t="s">
        <v>1161</v>
      </c>
      <c r="B20" s="31" t="s">
        <v>1162</v>
      </c>
      <c r="C20" s="31" t="s">
        <v>1163</v>
      </c>
      <c r="D20" s="33" t="s">
        <v>772</v>
      </c>
      <c r="E20" s="33" t="s">
        <v>105</v>
      </c>
      <c r="F20" s="111" t="s">
        <v>37</v>
      </c>
      <c r="G20" s="112" t="s">
        <v>472</v>
      </c>
      <c r="H20" s="111" t="s">
        <v>58</v>
      </c>
      <c r="I20" s="111" t="s">
        <v>37</v>
      </c>
      <c r="J20" s="112" t="s">
        <v>472</v>
      </c>
      <c r="K20" s="111" t="s">
        <v>58</v>
      </c>
      <c r="L20" s="111"/>
      <c r="M20" s="112" t="s">
        <v>51</v>
      </c>
      <c r="N20" s="111"/>
      <c r="O20" s="113" t="s">
        <v>59</v>
      </c>
      <c r="Q20" s="32"/>
    </row>
    <row r="21" spans="1:17" ht="32.4" customHeight="1" outlineLevel="1">
      <c r="A21" s="31" t="s">
        <v>1164</v>
      </c>
      <c r="B21" s="31" t="s">
        <v>1165</v>
      </c>
      <c r="C21" s="31" t="s">
        <v>1163</v>
      </c>
      <c r="D21" s="33" t="s">
        <v>778</v>
      </c>
      <c r="E21" s="33" t="s">
        <v>105</v>
      </c>
      <c r="F21" s="111" t="s">
        <v>37</v>
      </c>
      <c r="G21" s="112" t="s">
        <v>472</v>
      </c>
      <c r="H21" s="111" t="s">
        <v>58</v>
      </c>
      <c r="I21" s="111" t="s">
        <v>37</v>
      </c>
      <c r="J21" s="112" t="s">
        <v>472</v>
      </c>
      <c r="K21" s="111" t="s">
        <v>58</v>
      </c>
      <c r="L21" s="111"/>
      <c r="M21" s="112" t="s">
        <v>51</v>
      </c>
      <c r="N21" s="111"/>
      <c r="O21" s="113" t="s">
        <v>59</v>
      </c>
      <c r="Q21" s="32"/>
    </row>
    <row r="22" spans="1:17" ht="32.4" customHeight="1" outlineLevel="1">
      <c r="A22" s="31" t="s">
        <v>1166</v>
      </c>
      <c r="B22" s="31" t="s">
        <v>1167</v>
      </c>
      <c r="C22" s="31" t="s">
        <v>1168</v>
      </c>
      <c r="D22" s="33" t="s">
        <v>778</v>
      </c>
      <c r="E22" s="33" t="s">
        <v>105</v>
      </c>
      <c r="F22" s="111" t="s">
        <v>37</v>
      </c>
      <c r="G22" s="112" t="s">
        <v>472</v>
      </c>
      <c r="H22" s="111" t="s">
        <v>58</v>
      </c>
      <c r="I22" s="111" t="s">
        <v>37</v>
      </c>
      <c r="J22" s="112" t="s">
        <v>472</v>
      </c>
      <c r="K22" s="111" t="s">
        <v>58</v>
      </c>
      <c r="L22" s="111"/>
      <c r="M22" s="112" t="s">
        <v>51</v>
      </c>
      <c r="N22" s="111"/>
      <c r="O22" s="113" t="s">
        <v>59</v>
      </c>
      <c r="Q22" s="32"/>
    </row>
    <row r="23" spans="1:17" ht="45.6" customHeight="1" outlineLevel="1">
      <c r="A23" s="31" t="s">
        <v>1169</v>
      </c>
      <c r="B23" s="31" t="s">
        <v>1170</v>
      </c>
      <c r="C23" s="31" t="s">
        <v>1171</v>
      </c>
      <c r="D23" s="33" t="s">
        <v>772</v>
      </c>
      <c r="E23" s="33" t="s">
        <v>1172</v>
      </c>
      <c r="F23" s="111" t="s">
        <v>37</v>
      </c>
      <c r="G23" s="112" t="s">
        <v>472</v>
      </c>
      <c r="H23" s="111" t="s">
        <v>58</v>
      </c>
      <c r="I23" s="111" t="s">
        <v>37</v>
      </c>
      <c r="J23" s="112" t="s">
        <v>472</v>
      </c>
      <c r="K23" s="111" t="s">
        <v>58</v>
      </c>
      <c r="L23" s="111"/>
      <c r="M23" s="112" t="s">
        <v>51</v>
      </c>
      <c r="N23" s="111"/>
      <c r="O23" s="113" t="s">
        <v>59</v>
      </c>
      <c r="Q23" s="32"/>
    </row>
    <row r="24" spans="1:17" ht="45.6" customHeight="1" outlineLevel="1">
      <c r="A24" s="31" t="s">
        <v>1173</v>
      </c>
      <c r="B24" s="31" t="s">
        <v>1174</v>
      </c>
      <c r="C24" s="31" t="s">
        <v>1175</v>
      </c>
      <c r="D24" s="33" t="s">
        <v>906</v>
      </c>
      <c r="E24" s="33" t="s">
        <v>1176</v>
      </c>
      <c r="F24" s="111" t="s">
        <v>37</v>
      </c>
      <c r="G24" s="112" t="s">
        <v>472</v>
      </c>
      <c r="H24" s="111" t="s">
        <v>58</v>
      </c>
      <c r="I24" s="111" t="s">
        <v>37</v>
      </c>
      <c r="J24" s="112" t="s">
        <v>472</v>
      </c>
      <c r="K24" s="111" t="s">
        <v>58</v>
      </c>
      <c r="L24" s="111"/>
      <c r="M24" s="112" t="s">
        <v>51</v>
      </c>
      <c r="N24" s="111"/>
      <c r="O24" s="113" t="s">
        <v>59</v>
      </c>
      <c r="Q24" s="32"/>
    </row>
    <row r="25" spans="1:17" ht="45.6" customHeight="1" outlineLevel="1">
      <c r="A25" s="31" t="s">
        <v>1177</v>
      </c>
      <c r="B25" s="31" t="s">
        <v>1178</v>
      </c>
      <c r="C25" s="31" t="s">
        <v>1175</v>
      </c>
      <c r="D25" s="33" t="s">
        <v>778</v>
      </c>
      <c r="E25" s="33" t="s">
        <v>1176</v>
      </c>
      <c r="F25" s="111" t="s">
        <v>37</v>
      </c>
      <c r="G25" s="112" t="s">
        <v>472</v>
      </c>
      <c r="H25" s="111" t="s">
        <v>58</v>
      </c>
      <c r="I25" s="111" t="s">
        <v>37</v>
      </c>
      <c r="J25" s="112" t="s">
        <v>472</v>
      </c>
      <c r="K25" s="111" t="s">
        <v>58</v>
      </c>
      <c r="L25" s="111"/>
      <c r="M25" s="112" t="s">
        <v>51</v>
      </c>
      <c r="N25" s="111"/>
      <c r="O25" s="113" t="s">
        <v>59</v>
      </c>
      <c r="Q25" s="32"/>
    </row>
    <row r="26" spans="1:17" ht="72" customHeight="1" outlineLevel="1">
      <c r="A26" s="31" t="s">
        <v>1179</v>
      </c>
      <c r="B26" s="31" t="s">
        <v>1180</v>
      </c>
      <c r="C26" s="31" t="s">
        <v>1181</v>
      </c>
      <c r="D26" s="33" t="s">
        <v>772</v>
      </c>
      <c r="E26" s="33" t="s">
        <v>711</v>
      </c>
      <c r="F26" s="111" t="s">
        <v>37</v>
      </c>
      <c r="G26" s="112" t="s">
        <v>472</v>
      </c>
      <c r="H26" s="111" t="s">
        <v>58</v>
      </c>
      <c r="I26" s="111" t="s">
        <v>37</v>
      </c>
      <c r="J26" s="112" t="s">
        <v>472</v>
      </c>
      <c r="K26" s="111" t="s">
        <v>58</v>
      </c>
      <c r="L26" s="111"/>
      <c r="M26" s="112" t="s">
        <v>51</v>
      </c>
      <c r="N26" s="111"/>
      <c r="O26" s="113" t="s">
        <v>59</v>
      </c>
      <c r="Q26" s="32"/>
    </row>
  </sheetData>
  <mergeCells count="3">
    <mergeCell ref="B2:E2"/>
    <mergeCell ref="B3:E3"/>
    <mergeCell ref="B4:E4"/>
  </mergeCells>
  <dataValidations count="3">
    <dataValidation allowBlank="1" showErrorMessage="1" sqref="F10 I10 L10" xr:uid="{A88A16B8-992A-4A67-973C-D66E408C3E06}"/>
    <dataValidation type="list" allowBlank="1" showErrorMessage="1" sqref="G2:G3 G9 G27:G154 J2:J3 J9 J27:J154 M2:M3 M9 M27:M154" xr:uid="{D259EF49-3ECA-4241-BFBC-11E81B05C6EC}">
      <formula1>$R$2:$R$5</formula1>
      <formula2>0</formula2>
    </dataValidation>
    <dataValidation type="list" allowBlank="1" showInputMessage="1" showErrorMessage="1" sqref="F11:F26 I11:I26 L11:L26" xr:uid="{29388D14-4596-424A-8DD3-BA02A862FA7E}">
      <formula1>$R$2:$R$5</formula1>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74DD6-C122-4F74-B610-9B999F255D74}">
  <sheetPr>
    <outlinePr summaryBelow="0" summaryRight="0"/>
  </sheetPr>
  <dimension ref="A1:R30"/>
  <sheetViews>
    <sheetView zoomScale="85" zoomScaleNormal="85" workbookViewId="0">
      <pane ySplit="10" topLeftCell="A11" activePane="bottomLeft" state="frozen"/>
      <selection pane="bottomLeft"/>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14.77734375" style="1" customWidth="1" outlineLevel="1"/>
    <col min="9" max="9" width="9.33203125" style="1" customWidth="1"/>
    <col min="10" max="10" width="10.6640625" style="1" customWidth="1" outlineLevel="1"/>
    <col min="11" max="11" width="14.77734375" style="1" customWidth="1" outlineLevel="1"/>
    <col min="12" max="12" width="9.33203125" style="1" customWidth="1"/>
    <col min="13" max="13" width="10.6640625" style="1" customWidth="1" outlineLevel="1"/>
    <col min="14" max="14" width="14.77734375" style="1" customWidth="1" outlineLevel="1"/>
    <col min="15" max="15" width="28.6640625" style="1" customWidth="1"/>
    <col min="16" max="16" width="10.109375" style="1" customWidth="1"/>
    <col min="17" max="17" width="8.109375" style="23" customWidth="1"/>
    <col min="18" max="18" width="7.6640625" style="1" hidden="1" customWidth="1"/>
    <col min="19" max="16384" width="9" style="1"/>
  </cols>
  <sheetData>
    <row r="1" spans="1:18" ht="13.8" thickBot="1"/>
    <row r="2" spans="1:18" s="25" customFormat="1" ht="15" customHeight="1">
      <c r="A2" s="77" t="s">
        <v>35</v>
      </c>
      <c r="B2" s="105" t="s">
        <v>1182</v>
      </c>
      <c r="C2" s="105"/>
      <c r="D2" s="105"/>
      <c r="E2" s="106"/>
      <c r="F2" s="67"/>
      <c r="G2" s="61"/>
      <c r="H2" s="9"/>
      <c r="I2" s="67"/>
      <c r="J2" s="61"/>
      <c r="K2" s="9"/>
      <c r="L2" s="67"/>
      <c r="M2" s="61"/>
      <c r="N2" s="9"/>
      <c r="O2" s="9"/>
      <c r="P2" s="9"/>
      <c r="Q2" s="24"/>
      <c r="R2" s="25" t="s">
        <v>37</v>
      </c>
    </row>
    <row r="3" spans="1:18" s="25" customFormat="1" ht="28.05" customHeight="1">
      <c r="A3" s="78" t="s">
        <v>20</v>
      </c>
      <c r="B3" s="107" t="s">
        <v>1183</v>
      </c>
      <c r="C3" s="107"/>
      <c r="D3" s="107"/>
      <c r="E3" s="108"/>
      <c r="F3" s="67"/>
      <c r="G3" s="61"/>
      <c r="H3" s="9"/>
      <c r="I3" s="67"/>
      <c r="J3" s="61"/>
      <c r="K3" s="9"/>
      <c r="L3" s="67"/>
      <c r="M3" s="61"/>
      <c r="N3" s="9"/>
      <c r="O3" s="9"/>
      <c r="P3" s="9"/>
      <c r="Q3" s="24"/>
      <c r="R3" s="25" t="s">
        <v>38</v>
      </c>
    </row>
    <row r="4" spans="1:18" s="25" customFormat="1" ht="18" customHeight="1">
      <c r="A4" s="78" t="s">
        <v>45</v>
      </c>
      <c r="B4" s="107">
        <f>COUNTA(B11:B2011)</f>
        <v>20</v>
      </c>
      <c r="C4" s="107"/>
      <c r="D4" s="107"/>
      <c r="E4" s="108"/>
      <c r="F4" s="67"/>
      <c r="G4" s="61"/>
      <c r="H4" s="9"/>
      <c r="I4" s="67"/>
      <c r="J4" s="61"/>
      <c r="K4" s="9"/>
      <c r="L4" s="67"/>
      <c r="M4" s="61"/>
      <c r="N4" s="9"/>
      <c r="O4" s="9"/>
      <c r="P4" s="9"/>
      <c r="Q4" s="24"/>
      <c r="R4" s="25" t="s">
        <v>36</v>
      </c>
    </row>
    <row r="5" spans="1:18" s="25" customFormat="1" ht="19.5" customHeight="1">
      <c r="A5" s="71" t="s">
        <v>39</v>
      </c>
      <c r="B5" s="69" t="s">
        <v>37</v>
      </c>
      <c r="C5" s="69" t="s">
        <v>38</v>
      </c>
      <c r="D5" s="69" t="s">
        <v>36</v>
      </c>
      <c r="E5" s="72" t="s">
        <v>22</v>
      </c>
      <c r="F5" s="62"/>
      <c r="G5" s="62"/>
      <c r="H5" s="26"/>
      <c r="I5" s="62"/>
      <c r="J5" s="62"/>
      <c r="K5" s="26"/>
      <c r="L5" s="62"/>
      <c r="M5" s="62"/>
      <c r="N5" s="26"/>
      <c r="O5" s="26"/>
      <c r="P5" s="26"/>
      <c r="Q5" s="27"/>
      <c r="R5" s="25" t="s">
        <v>22</v>
      </c>
    </row>
    <row r="6" spans="1:18" s="25" customFormat="1" ht="15" customHeight="1">
      <c r="A6" s="71" t="s">
        <v>40</v>
      </c>
      <c r="B6" s="70">
        <f>COUNTIF($F$11:$F$2011,B$5)</f>
        <v>20</v>
      </c>
      <c r="C6" s="70">
        <f>COUNTIF($F$11:$F$2011,C$5)</f>
        <v>0</v>
      </c>
      <c r="D6" s="70">
        <f>COUNTIF($F$11:$F$2011,D$5)</f>
        <v>0</v>
      </c>
      <c r="E6" s="76">
        <f>COUNTIF($F$11:$F$2011,E$5)</f>
        <v>0</v>
      </c>
      <c r="F6" s="63"/>
      <c r="G6" s="63"/>
      <c r="H6" s="26"/>
      <c r="I6" s="63"/>
      <c r="J6" s="63"/>
      <c r="K6" s="26"/>
      <c r="L6" s="63"/>
      <c r="M6" s="63"/>
      <c r="N6" s="26"/>
      <c r="O6" s="26"/>
      <c r="P6" s="26"/>
      <c r="Q6" s="27"/>
    </row>
    <row r="7" spans="1:18" s="25" customFormat="1" ht="15" customHeight="1">
      <c r="A7" s="71" t="s">
        <v>42</v>
      </c>
      <c r="B7" s="70">
        <f>COUNTIF($I$11:$I$2011,B$5)</f>
        <v>20</v>
      </c>
      <c r="C7" s="70">
        <f>COUNTIF($I$11:$I$2011,C$5)</f>
        <v>0</v>
      </c>
      <c r="D7" s="70">
        <f>COUNTIF($I$11:$I$2011,D$5)</f>
        <v>0</v>
      </c>
      <c r="E7" s="76">
        <f>COUNTIF($I$11:$I$2011,E$5)</f>
        <v>0</v>
      </c>
      <c r="F7" s="63"/>
      <c r="G7" s="63"/>
      <c r="H7" s="26"/>
      <c r="I7" s="63"/>
      <c r="J7" s="63"/>
      <c r="K7" s="26"/>
      <c r="L7" s="63"/>
      <c r="M7" s="63"/>
      <c r="N7" s="26"/>
      <c r="O7" s="26"/>
      <c r="P7" s="26"/>
      <c r="Q7" s="27"/>
    </row>
    <row r="8" spans="1:18" s="25" customFormat="1" ht="15" customHeight="1" thickBot="1">
      <c r="A8" s="73" t="s">
        <v>43</v>
      </c>
      <c r="B8" s="74">
        <f>COUNTIF($L$11:$L$2011,B$5)</f>
        <v>0</v>
      </c>
      <c r="C8" s="74">
        <f>COUNTIF($L$11:$L$2011,C$5)</f>
        <v>0</v>
      </c>
      <c r="D8" s="74">
        <f>COUNTIF($L$11:$L$2011,D$5)</f>
        <v>0</v>
      </c>
      <c r="E8" s="75">
        <f>COUNTIF($L$11:$L$2011,E$5)</f>
        <v>0</v>
      </c>
      <c r="F8" s="63"/>
      <c r="G8" s="63"/>
      <c r="H8" s="26"/>
      <c r="I8" s="63"/>
      <c r="J8" s="63"/>
      <c r="K8" s="26"/>
      <c r="L8" s="63"/>
      <c r="M8" s="63"/>
      <c r="N8" s="26"/>
      <c r="O8" s="26"/>
      <c r="P8" s="26"/>
      <c r="Q8" s="27"/>
    </row>
    <row r="9" spans="1:18" s="25" customFormat="1" ht="15" customHeight="1">
      <c r="A9" s="26"/>
      <c r="B9" s="26"/>
      <c r="C9" s="26"/>
      <c r="D9" s="26"/>
      <c r="E9" s="26"/>
      <c r="F9" s="28"/>
      <c r="G9" s="26"/>
      <c r="H9" s="26"/>
      <c r="I9" s="28"/>
      <c r="J9" s="26"/>
      <c r="K9" s="26"/>
      <c r="L9" s="28"/>
      <c r="M9" s="26"/>
      <c r="N9" s="26"/>
      <c r="O9" s="26"/>
      <c r="P9" s="26"/>
      <c r="Q9" s="27"/>
    </row>
    <row r="10" spans="1:18" s="25" customFormat="1" ht="25.5" customHeight="1">
      <c r="A10" s="68" t="s">
        <v>44</v>
      </c>
      <c r="B10" s="68" t="s">
        <v>23</v>
      </c>
      <c r="C10" s="68" t="s">
        <v>34</v>
      </c>
      <c r="D10" s="68" t="s">
        <v>33</v>
      </c>
      <c r="E10" s="68" t="s">
        <v>41</v>
      </c>
      <c r="F10" s="68" t="s">
        <v>40</v>
      </c>
      <c r="G10" s="68" t="s">
        <v>24</v>
      </c>
      <c r="H10" s="68" t="s">
        <v>21</v>
      </c>
      <c r="I10" s="68" t="s">
        <v>42</v>
      </c>
      <c r="J10" s="68" t="s">
        <v>24</v>
      </c>
      <c r="K10" s="68" t="s">
        <v>21</v>
      </c>
      <c r="L10" s="68" t="s">
        <v>43</v>
      </c>
      <c r="M10" s="68" t="s">
        <v>24</v>
      </c>
      <c r="N10" s="68" t="s">
        <v>21</v>
      </c>
      <c r="O10" s="68" t="s">
        <v>25</v>
      </c>
      <c r="Q10" s="29"/>
    </row>
    <row r="11" spans="1:18" ht="45.6" customHeight="1" outlineLevel="1">
      <c r="A11" s="31" t="s">
        <v>1184</v>
      </c>
      <c r="B11" s="31" t="s">
        <v>1185</v>
      </c>
      <c r="C11" s="31" t="s">
        <v>1186</v>
      </c>
      <c r="D11" s="33" t="s">
        <v>1187</v>
      </c>
      <c r="E11" s="33" t="s">
        <v>1176</v>
      </c>
      <c r="F11" s="111" t="s">
        <v>37</v>
      </c>
      <c r="G11" s="112" t="s">
        <v>472</v>
      </c>
      <c r="H11" s="111" t="s">
        <v>58</v>
      </c>
      <c r="I11" s="111" t="s">
        <v>37</v>
      </c>
      <c r="J11" s="112" t="s">
        <v>472</v>
      </c>
      <c r="K11" s="111" t="s">
        <v>58</v>
      </c>
      <c r="L11" s="111"/>
      <c r="M11" s="112" t="s">
        <v>51</v>
      </c>
      <c r="N11" s="111"/>
      <c r="O11" s="113" t="s">
        <v>59</v>
      </c>
      <c r="Q11" s="32"/>
    </row>
    <row r="12" spans="1:18" ht="45.6" customHeight="1" outlineLevel="1">
      <c r="A12" s="31" t="s">
        <v>1188</v>
      </c>
      <c r="B12" s="31" t="s">
        <v>1189</v>
      </c>
      <c r="C12" s="31" t="s">
        <v>1186</v>
      </c>
      <c r="D12" s="33" t="s">
        <v>778</v>
      </c>
      <c r="E12" s="33" t="s">
        <v>1176</v>
      </c>
      <c r="F12" s="111" t="s">
        <v>37</v>
      </c>
      <c r="G12" s="112" t="s">
        <v>472</v>
      </c>
      <c r="H12" s="111" t="s">
        <v>58</v>
      </c>
      <c r="I12" s="111" t="s">
        <v>37</v>
      </c>
      <c r="J12" s="112" t="s">
        <v>472</v>
      </c>
      <c r="K12" s="111" t="s">
        <v>58</v>
      </c>
      <c r="L12" s="111"/>
      <c r="M12" s="112" t="s">
        <v>51</v>
      </c>
      <c r="N12" s="111"/>
      <c r="O12" s="113" t="s">
        <v>59</v>
      </c>
      <c r="Q12" s="32"/>
    </row>
    <row r="13" spans="1:18" ht="45.6" customHeight="1" outlineLevel="1">
      <c r="A13" s="31" t="s">
        <v>1190</v>
      </c>
      <c r="B13" s="31" t="s">
        <v>1191</v>
      </c>
      <c r="C13" s="31" t="s">
        <v>1192</v>
      </c>
      <c r="D13" s="33" t="s">
        <v>528</v>
      </c>
      <c r="E13" s="33" t="s">
        <v>1176</v>
      </c>
      <c r="F13" s="111" t="s">
        <v>37</v>
      </c>
      <c r="G13" s="112" t="s">
        <v>472</v>
      </c>
      <c r="H13" s="111" t="s">
        <v>58</v>
      </c>
      <c r="I13" s="111" t="s">
        <v>37</v>
      </c>
      <c r="J13" s="112" t="s">
        <v>472</v>
      </c>
      <c r="K13" s="111" t="s">
        <v>58</v>
      </c>
      <c r="L13" s="111"/>
      <c r="M13" s="112" t="s">
        <v>51</v>
      </c>
      <c r="N13" s="111"/>
      <c r="O13" s="113" t="s">
        <v>59</v>
      </c>
      <c r="Q13" s="32"/>
    </row>
    <row r="14" spans="1:18" ht="45.6" customHeight="1" outlineLevel="1">
      <c r="A14" s="31" t="s">
        <v>1193</v>
      </c>
      <c r="B14" s="31" t="s">
        <v>1194</v>
      </c>
      <c r="C14" s="31" t="s">
        <v>1195</v>
      </c>
      <c r="D14" s="33" t="s">
        <v>479</v>
      </c>
      <c r="E14" s="33" t="s">
        <v>1176</v>
      </c>
      <c r="F14" s="111" t="s">
        <v>37</v>
      </c>
      <c r="G14" s="112" t="s">
        <v>472</v>
      </c>
      <c r="H14" s="111" t="s">
        <v>58</v>
      </c>
      <c r="I14" s="111" t="s">
        <v>37</v>
      </c>
      <c r="J14" s="112" t="s">
        <v>472</v>
      </c>
      <c r="K14" s="111" t="s">
        <v>58</v>
      </c>
      <c r="L14" s="111"/>
      <c r="M14" s="112" t="s">
        <v>51</v>
      </c>
      <c r="N14" s="111"/>
      <c r="O14" s="113" t="s">
        <v>59</v>
      </c>
      <c r="Q14" s="32"/>
    </row>
    <row r="15" spans="1:18" ht="45.6" customHeight="1" outlineLevel="1">
      <c r="A15" s="31" t="s">
        <v>1196</v>
      </c>
      <c r="B15" s="31" t="s">
        <v>1197</v>
      </c>
      <c r="C15" s="31" t="s">
        <v>1198</v>
      </c>
      <c r="D15" s="33" t="s">
        <v>479</v>
      </c>
      <c r="E15" s="33" t="s">
        <v>1176</v>
      </c>
      <c r="F15" s="111" t="s">
        <v>37</v>
      </c>
      <c r="G15" s="112" t="s">
        <v>472</v>
      </c>
      <c r="H15" s="111" t="s">
        <v>58</v>
      </c>
      <c r="I15" s="111" t="s">
        <v>37</v>
      </c>
      <c r="J15" s="112" t="s">
        <v>472</v>
      </c>
      <c r="K15" s="111" t="s">
        <v>58</v>
      </c>
      <c r="L15" s="111"/>
      <c r="M15" s="112" t="s">
        <v>51</v>
      </c>
      <c r="N15" s="111"/>
      <c r="O15" s="113" t="s">
        <v>59</v>
      </c>
      <c r="Q15" s="32"/>
    </row>
    <row r="16" spans="1:18" ht="45.6" customHeight="1" outlineLevel="1">
      <c r="A16" s="31" t="s">
        <v>1199</v>
      </c>
      <c r="B16" s="31" t="s">
        <v>1200</v>
      </c>
      <c r="C16" s="31" t="s">
        <v>1201</v>
      </c>
      <c r="D16" s="33" t="s">
        <v>479</v>
      </c>
      <c r="E16" s="33" t="s">
        <v>1176</v>
      </c>
      <c r="F16" s="111" t="s">
        <v>37</v>
      </c>
      <c r="G16" s="112" t="s">
        <v>472</v>
      </c>
      <c r="H16" s="111" t="s">
        <v>58</v>
      </c>
      <c r="I16" s="111" t="s">
        <v>37</v>
      </c>
      <c r="J16" s="112" t="s">
        <v>472</v>
      </c>
      <c r="K16" s="111" t="s">
        <v>58</v>
      </c>
      <c r="L16" s="111"/>
      <c r="M16" s="112" t="s">
        <v>51</v>
      </c>
      <c r="N16" s="111"/>
      <c r="O16" s="113" t="s">
        <v>59</v>
      </c>
      <c r="Q16" s="32"/>
    </row>
    <row r="17" spans="1:17" ht="45.6" customHeight="1" outlineLevel="1">
      <c r="A17" s="31" t="s">
        <v>1202</v>
      </c>
      <c r="B17" s="31" t="s">
        <v>1203</v>
      </c>
      <c r="C17" s="31" t="s">
        <v>1204</v>
      </c>
      <c r="D17" s="33" t="s">
        <v>1205</v>
      </c>
      <c r="E17" s="33" t="s">
        <v>1176</v>
      </c>
      <c r="F17" s="111" t="s">
        <v>37</v>
      </c>
      <c r="G17" s="112" t="s">
        <v>472</v>
      </c>
      <c r="H17" s="111" t="s">
        <v>58</v>
      </c>
      <c r="I17" s="111" t="s">
        <v>37</v>
      </c>
      <c r="J17" s="112" t="s">
        <v>472</v>
      </c>
      <c r="K17" s="111" t="s">
        <v>58</v>
      </c>
      <c r="L17" s="111"/>
      <c r="M17" s="112" t="s">
        <v>51</v>
      </c>
      <c r="N17" s="111"/>
      <c r="O17" s="113" t="s">
        <v>59</v>
      </c>
      <c r="Q17" s="32"/>
    </row>
    <row r="18" spans="1:17" ht="45.6" customHeight="1" outlineLevel="1">
      <c r="A18" s="31" t="s">
        <v>1206</v>
      </c>
      <c r="B18" s="31" t="s">
        <v>1207</v>
      </c>
      <c r="C18" s="31" t="s">
        <v>1204</v>
      </c>
      <c r="D18" s="33" t="s">
        <v>475</v>
      </c>
      <c r="E18" s="33" t="s">
        <v>1176</v>
      </c>
      <c r="F18" s="111" t="s">
        <v>37</v>
      </c>
      <c r="G18" s="112" t="s">
        <v>472</v>
      </c>
      <c r="H18" s="111" t="s">
        <v>58</v>
      </c>
      <c r="I18" s="111" t="s">
        <v>37</v>
      </c>
      <c r="J18" s="112" t="s">
        <v>472</v>
      </c>
      <c r="K18" s="111" t="s">
        <v>58</v>
      </c>
      <c r="L18" s="111"/>
      <c r="M18" s="112" t="s">
        <v>51</v>
      </c>
      <c r="N18" s="111"/>
      <c r="O18" s="113" t="s">
        <v>59</v>
      </c>
      <c r="Q18" s="32"/>
    </row>
    <row r="19" spans="1:17" ht="45.6" customHeight="1" outlineLevel="1">
      <c r="A19" s="31" t="s">
        <v>1208</v>
      </c>
      <c r="B19" s="31" t="s">
        <v>1209</v>
      </c>
      <c r="C19" s="31" t="s">
        <v>1204</v>
      </c>
      <c r="D19" s="33" t="s">
        <v>598</v>
      </c>
      <c r="E19" s="33" t="s">
        <v>1176</v>
      </c>
      <c r="F19" s="111" t="s">
        <v>37</v>
      </c>
      <c r="G19" s="112" t="s">
        <v>472</v>
      </c>
      <c r="H19" s="111" t="s">
        <v>58</v>
      </c>
      <c r="I19" s="111" t="s">
        <v>37</v>
      </c>
      <c r="J19" s="112" t="s">
        <v>472</v>
      </c>
      <c r="K19" s="111" t="s">
        <v>58</v>
      </c>
      <c r="L19" s="111"/>
      <c r="M19" s="112" t="s">
        <v>51</v>
      </c>
      <c r="N19" s="111"/>
      <c r="O19" s="113" t="s">
        <v>59</v>
      </c>
      <c r="Q19" s="32"/>
    </row>
    <row r="20" spans="1:17" ht="45.6" customHeight="1" outlineLevel="1">
      <c r="A20" s="31" t="s">
        <v>1210</v>
      </c>
      <c r="B20" s="31" t="s">
        <v>1211</v>
      </c>
      <c r="C20" s="31" t="s">
        <v>1204</v>
      </c>
      <c r="D20" s="33" t="s">
        <v>489</v>
      </c>
      <c r="E20" s="33" t="s">
        <v>105</v>
      </c>
      <c r="F20" s="111" t="s">
        <v>37</v>
      </c>
      <c r="G20" s="112" t="s">
        <v>472</v>
      </c>
      <c r="H20" s="111" t="s">
        <v>58</v>
      </c>
      <c r="I20" s="111" t="s">
        <v>37</v>
      </c>
      <c r="J20" s="112" t="s">
        <v>472</v>
      </c>
      <c r="K20" s="111" t="s">
        <v>58</v>
      </c>
      <c r="L20" s="111"/>
      <c r="M20" s="112" t="s">
        <v>51</v>
      </c>
      <c r="N20" s="111"/>
      <c r="O20" s="113" t="s">
        <v>59</v>
      </c>
      <c r="Q20" s="32"/>
    </row>
    <row r="21" spans="1:17" ht="45.6" customHeight="1" outlineLevel="1">
      <c r="A21" s="31" t="s">
        <v>1212</v>
      </c>
      <c r="B21" s="31" t="s">
        <v>1213</v>
      </c>
      <c r="C21" s="31" t="s">
        <v>1214</v>
      </c>
      <c r="D21" s="33" t="s">
        <v>479</v>
      </c>
      <c r="E21" s="33" t="s">
        <v>1176</v>
      </c>
      <c r="F21" s="111" t="s">
        <v>37</v>
      </c>
      <c r="G21" s="112" t="s">
        <v>472</v>
      </c>
      <c r="H21" s="111" t="s">
        <v>58</v>
      </c>
      <c r="I21" s="111" t="s">
        <v>37</v>
      </c>
      <c r="J21" s="112" t="s">
        <v>472</v>
      </c>
      <c r="K21" s="111" t="s">
        <v>58</v>
      </c>
      <c r="L21" s="111"/>
      <c r="M21" s="112" t="s">
        <v>51</v>
      </c>
      <c r="N21" s="111"/>
      <c r="O21" s="113" t="s">
        <v>59</v>
      </c>
      <c r="Q21" s="32"/>
    </row>
    <row r="22" spans="1:17" ht="45.6" customHeight="1" outlineLevel="1">
      <c r="A22" s="31" t="s">
        <v>1215</v>
      </c>
      <c r="B22" s="31" t="s">
        <v>1216</v>
      </c>
      <c r="C22" s="31" t="s">
        <v>1204</v>
      </c>
      <c r="D22" s="33" t="s">
        <v>475</v>
      </c>
      <c r="E22" s="33" t="s">
        <v>1176</v>
      </c>
      <c r="F22" s="111" t="s">
        <v>37</v>
      </c>
      <c r="G22" s="112" t="s">
        <v>472</v>
      </c>
      <c r="H22" s="111" t="s">
        <v>58</v>
      </c>
      <c r="I22" s="111" t="s">
        <v>37</v>
      </c>
      <c r="J22" s="112" t="s">
        <v>472</v>
      </c>
      <c r="K22" s="111" t="s">
        <v>58</v>
      </c>
      <c r="L22" s="111"/>
      <c r="M22" s="112" t="s">
        <v>51</v>
      </c>
      <c r="N22" s="111"/>
      <c r="O22" s="113" t="s">
        <v>59</v>
      </c>
      <c r="Q22" s="32"/>
    </row>
    <row r="23" spans="1:17" ht="45.6" customHeight="1" outlineLevel="1">
      <c r="A23" s="31" t="s">
        <v>1217</v>
      </c>
      <c r="B23" s="31" t="s">
        <v>1218</v>
      </c>
      <c r="C23" s="31" t="s">
        <v>1219</v>
      </c>
      <c r="D23" s="33" t="s">
        <v>1220</v>
      </c>
      <c r="E23" s="33" t="s">
        <v>1176</v>
      </c>
      <c r="F23" s="111" t="s">
        <v>37</v>
      </c>
      <c r="G23" s="112" t="s">
        <v>472</v>
      </c>
      <c r="H23" s="111" t="s">
        <v>58</v>
      </c>
      <c r="I23" s="111" t="s">
        <v>37</v>
      </c>
      <c r="J23" s="112" t="s">
        <v>472</v>
      </c>
      <c r="K23" s="111" t="s">
        <v>58</v>
      </c>
      <c r="L23" s="111"/>
      <c r="M23" s="112" t="s">
        <v>51</v>
      </c>
      <c r="N23" s="111"/>
      <c r="O23" s="113" t="s">
        <v>59</v>
      </c>
      <c r="Q23" s="32"/>
    </row>
    <row r="24" spans="1:17" ht="45.6" customHeight="1" outlineLevel="1">
      <c r="A24" s="31" t="s">
        <v>1221</v>
      </c>
      <c r="B24" s="31" t="s">
        <v>1222</v>
      </c>
      <c r="C24" s="31" t="s">
        <v>1219</v>
      </c>
      <c r="D24" s="33" t="s">
        <v>500</v>
      </c>
      <c r="E24" s="33" t="s">
        <v>1176</v>
      </c>
      <c r="F24" s="111" t="s">
        <v>37</v>
      </c>
      <c r="G24" s="112" t="s">
        <v>472</v>
      </c>
      <c r="H24" s="111" t="s">
        <v>58</v>
      </c>
      <c r="I24" s="111" t="s">
        <v>37</v>
      </c>
      <c r="J24" s="112" t="s">
        <v>472</v>
      </c>
      <c r="K24" s="111" t="s">
        <v>58</v>
      </c>
      <c r="L24" s="111"/>
      <c r="M24" s="112" t="s">
        <v>51</v>
      </c>
      <c r="N24" s="111"/>
      <c r="O24" s="113" t="s">
        <v>59</v>
      </c>
      <c r="Q24" s="32"/>
    </row>
    <row r="25" spans="1:17" ht="45.6" customHeight="1" outlineLevel="1">
      <c r="A25" s="31" t="s">
        <v>1223</v>
      </c>
      <c r="B25" s="31" t="s">
        <v>1224</v>
      </c>
      <c r="C25" s="31" t="s">
        <v>1225</v>
      </c>
      <c r="D25" s="33" t="s">
        <v>500</v>
      </c>
      <c r="E25" s="33" t="s">
        <v>1176</v>
      </c>
      <c r="F25" s="111" t="s">
        <v>37</v>
      </c>
      <c r="G25" s="112" t="s">
        <v>472</v>
      </c>
      <c r="H25" s="111" t="s">
        <v>58</v>
      </c>
      <c r="I25" s="111" t="s">
        <v>37</v>
      </c>
      <c r="J25" s="112" t="s">
        <v>472</v>
      </c>
      <c r="K25" s="111" t="s">
        <v>58</v>
      </c>
      <c r="L25" s="111"/>
      <c r="M25" s="112" t="s">
        <v>51</v>
      </c>
      <c r="N25" s="111"/>
      <c r="O25" s="113" t="s">
        <v>59</v>
      </c>
      <c r="Q25" s="32"/>
    </row>
    <row r="26" spans="1:17" ht="45.6" customHeight="1" outlineLevel="1">
      <c r="A26" s="31" t="s">
        <v>1226</v>
      </c>
      <c r="B26" s="31" t="s">
        <v>1227</v>
      </c>
      <c r="C26" s="31" t="s">
        <v>1225</v>
      </c>
      <c r="D26" s="33" t="s">
        <v>598</v>
      </c>
      <c r="E26" s="33" t="s">
        <v>1176</v>
      </c>
      <c r="F26" s="111" t="s">
        <v>37</v>
      </c>
      <c r="G26" s="112" t="s">
        <v>472</v>
      </c>
      <c r="H26" s="111" t="s">
        <v>58</v>
      </c>
      <c r="I26" s="111" t="s">
        <v>37</v>
      </c>
      <c r="J26" s="112" t="s">
        <v>472</v>
      </c>
      <c r="K26" s="111" t="s">
        <v>58</v>
      </c>
      <c r="L26" s="111"/>
      <c r="M26" s="112" t="s">
        <v>51</v>
      </c>
      <c r="N26" s="111"/>
      <c r="O26" s="113" t="s">
        <v>59</v>
      </c>
      <c r="Q26" s="32"/>
    </row>
    <row r="27" spans="1:17" ht="45.6" customHeight="1" outlineLevel="1">
      <c r="A27" s="31" t="s">
        <v>1228</v>
      </c>
      <c r="B27" s="31" t="s">
        <v>1229</v>
      </c>
      <c r="C27" s="31" t="s">
        <v>1225</v>
      </c>
      <c r="D27" s="33" t="s">
        <v>598</v>
      </c>
      <c r="E27" s="33" t="s">
        <v>1176</v>
      </c>
      <c r="F27" s="111" t="s">
        <v>37</v>
      </c>
      <c r="G27" s="112" t="s">
        <v>472</v>
      </c>
      <c r="H27" s="111" t="s">
        <v>58</v>
      </c>
      <c r="I27" s="111" t="s">
        <v>37</v>
      </c>
      <c r="J27" s="112" t="s">
        <v>472</v>
      </c>
      <c r="K27" s="111" t="s">
        <v>58</v>
      </c>
      <c r="L27" s="111"/>
      <c r="M27" s="112" t="s">
        <v>51</v>
      </c>
      <c r="N27" s="111"/>
      <c r="O27" s="113" t="s">
        <v>59</v>
      </c>
      <c r="Q27" s="32"/>
    </row>
    <row r="28" spans="1:17" ht="45.6" customHeight="1" outlineLevel="1">
      <c r="A28" s="31" t="s">
        <v>1230</v>
      </c>
      <c r="B28" s="31" t="s">
        <v>1231</v>
      </c>
      <c r="C28" s="31" t="s">
        <v>1204</v>
      </c>
      <c r="D28" s="33" t="s">
        <v>598</v>
      </c>
      <c r="E28" s="33" t="s">
        <v>1176</v>
      </c>
      <c r="F28" s="111" t="s">
        <v>37</v>
      </c>
      <c r="G28" s="112" t="s">
        <v>472</v>
      </c>
      <c r="H28" s="111" t="s">
        <v>58</v>
      </c>
      <c r="I28" s="111" t="s">
        <v>37</v>
      </c>
      <c r="J28" s="112" t="s">
        <v>472</v>
      </c>
      <c r="K28" s="111" t="s">
        <v>58</v>
      </c>
      <c r="L28" s="111"/>
      <c r="M28" s="112" t="s">
        <v>51</v>
      </c>
      <c r="N28" s="111"/>
      <c r="O28" s="113" t="s">
        <v>59</v>
      </c>
      <c r="Q28" s="32"/>
    </row>
    <row r="29" spans="1:17" ht="45.6" customHeight="1" outlineLevel="1">
      <c r="A29" s="31" t="s">
        <v>1232</v>
      </c>
      <c r="B29" s="31" t="s">
        <v>1233</v>
      </c>
      <c r="C29" s="31" t="s">
        <v>1219</v>
      </c>
      <c r="D29" s="33" t="s">
        <v>479</v>
      </c>
      <c r="E29" s="33" t="s">
        <v>1176</v>
      </c>
      <c r="F29" s="111" t="s">
        <v>37</v>
      </c>
      <c r="G29" s="112" t="s">
        <v>472</v>
      </c>
      <c r="H29" s="111" t="s">
        <v>58</v>
      </c>
      <c r="I29" s="111" t="s">
        <v>37</v>
      </c>
      <c r="J29" s="112" t="s">
        <v>472</v>
      </c>
      <c r="K29" s="111" t="s">
        <v>58</v>
      </c>
      <c r="L29" s="111"/>
      <c r="M29" s="112" t="s">
        <v>51</v>
      </c>
      <c r="N29" s="111"/>
      <c r="O29" s="113" t="s">
        <v>59</v>
      </c>
      <c r="Q29" s="32"/>
    </row>
    <row r="30" spans="1:17" ht="45.6" customHeight="1" outlineLevel="1">
      <c r="A30" s="31" t="s">
        <v>1234</v>
      </c>
      <c r="B30" s="31" t="s">
        <v>1235</v>
      </c>
      <c r="C30" s="31" t="s">
        <v>1219</v>
      </c>
      <c r="D30" s="33" t="s">
        <v>489</v>
      </c>
      <c r="E30" s="33" t="s">
        <v>105</v>
      </c>
      <c r="F30" s="111" t="s">
        <v>37</v>
      </c>
      <c r="G30" s="112" t="s">
        <v>472</v>
      </c>
      <c r="H30" s="111" t="s">
        <v>58</v>
      </c>
      <c r="I30" s="111" t="s">
        <v>37</v>
      </c>
      <c r="J30" s="112" t="s">
        <v>472</v>
      </c>
      <c r="K30" s="111" t="s">
        <v>58</v>
      </c>
      <c r="L30" s="111"/>
      <c r="M30" s="112" t="s">
        <v>51</v>
      </c>
      <c r="N30" s="111"/>
      <c r="O30" s="113" t="s">
        <v>59</v>
      </c>
      <c r="Q30" s="32"/>
    </row>
  </sheetData>
  <mergeCells count="3">
    <mergeCell ref="B2:E2"/>
    <mergeCell ref="B3:E3"/>
    <mergeCell ref="B4:E4"/>
  </mergeCells>
  <dataValidations count="3">
    <dataValidation allowBlank="1" showErrorMessage="1" sqref="F10 I10 L10" xr:uid="{8B7FE635-A848-4F5A-AD94-57D507314EA1}"/>
    <dataValidation type="list" allowBlank="1" showErrorMessage="1" sqref="G2:G3 G9 G31:G158 J2:J3 J9 J31:J158 M2:M3 M9 M31:M158" xr:uid="{282239A6-B670-4C5B-8C1D-5DF6153621DE}">
      <formula1>$R$2:$R$5</formula1>
      <formula2>0</formula2>
    </dataValidation>
    <dataValidation type="list" allowBlank="1" showInputMessage="1" showErrorMessage="1" sqref="F11:F30 I11:I30 L11:L30" xr:uid="{34222F4C-462A-42D1-8AAA-5F625708488B}">
      <formula1>$R$2:$R$5</formula1>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C3E60-8E52-46DD-BED5-7D7E50CDC33C}">
  <sheetPr>
    <outlinePr summaryBelow="0" summaryRight="0"/>
  </sheetPr>
  <dimension ref="A1:R24"/>
  <sheetViews>
    <sheetView zoomScale="85" zoomScaleNormal="85" workbookViewId="0">
      <pane ySplit="10" topLeftCell="A11" activePane="bottomLeft" state="frozen"/>
      <selection pane="bottomLeft"/>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14.77734375" style="1" customWidth="1" outlineLevel="1"/>
    <col min="9" max="9" width="9.33203125" style="1" customWidth="1"/>
    <col min="10" max="10" width="10.6640625" style="1" customWidth="1" outlineLevel="1"/>
    <col min="11" max="11" width="14.77734375" style="1" customWidth="1" outlineLevel="1"/>
    <col min="12" max="12" width="9.33203125" style="1" customWidth="1"/>
    <col min="13" max="13" width="10.6640625" style="1" customWidth="1" outlineLevel="1"/>
    <col min="14" max="14" width="14.77734375" style="1" customWidth="1" outlineLevel="1"/>
    <col min="15" max="15" width="28.6640625" style="1" customWidth="1"/>
    <col min="16" max="16" width="10.109375" style="1" customWidth="1"/>
    <col min="17" max="17" width="8.109375" style="23" customWidth="1"/>
    <col min="18" max="18" width="7.6640625" style="1" hidden="1" customWidth="1"/>
    <col min="19" max="16384" width="9" style="1"/>
  </cols>
  <sheetData>
    <row r="1" spans="1:18" ht="13.8" thickBot="1"/>
    <row r="2" spans="1:18" s="25" customFormat="1" ht="15" customHeight="1">
      <c r="A2" s="77" t="s">
        <v>35</v>
      </c>
      <c r="B2" s="105" t="s">
        <v>1236</v>
      </c>
      <c r="C2" s="105"/>
      <c r="D2" s="105"/>
      <c r="E2" s="106"/>
      <c r="F2" s="67"/>
      <c r="G2" s="61"/>
      <c r="H2" s="9"/>
      <c r="I2" s="67"/>
      <c r="J2" s="61"/>
      <c r="K2" s="9"/>
      <c r="L2" s="67"/>
      <c r="M2" s="61"/>
      <c r="N2" s="9"/>
      <c r="O2" s="9"/>
      <c r="P2" s="9"/>
      <c r="Q2" s="24"/>
      <c r="R2" s="25" t="s">
        <v>37</v>
      </c>
    </row>
    <row r="3" spans="1:18" s="25" customFormat="1" ht="28.05" customHeight="1">
      <c r="A3" s="78" t="s">
        <v>20</v>
      </c>
      <c r="B3" s="107" t="s">
        <v>1237</v>
      </c>
      <c r="C3" s="107"/>
      <c r="D3" s="107"/>
      <c r="E3" s="108"/>
      <c r="F3" s="67"/>
      <c r="G3" s="61"/>
      <c r="H3" s="9"/>
      <c r="I3" s="67"/>
      <c r="J3" s="61"/>
      <c r="K3" s="9"/>
      <c r="L3" s="67"/>
      <c r="M3" s="61"/>
      <c r="N3" s="9"/>
      <c r="O3" s="9"/>
      <c r="P3" s="9"/>
      <c r="Q3" s="24"/>
      <c r="R3" s="25" t="s">
        <v>38</v>
      </c>
    </row>
    <row r="4" spans="1:18" s="25" customFormat="1" ht="18" customHeight="1">
      <c r="A4" s="78" t="s">
        <v>45</v>
      </c>
      <c r="B4" s="107">
        <f>COUNTA(B11:B2005)</f>
        <v>14</v>
      </c>
      <c r="C4" s="107"/>
      <c r="D4" s="107"/>
      <c r="E4" s="108"/>
      <c r="F4" s="67"/>
      <c r="G4" s="61"/>
      <c r="H4" s="9"/>
      <c r="I4" s="67"/>
      <c r="J4" s="61"/>
      <c r="K4" s="9"/>
      <c r="L4" s="67"/>
      <c r="M4" s="61"/>
      <c r="N4" s="9"/>
      <c r="O4" s="9"/>
      <c r="P4" s="9"/>
      <c r="Q4" s="24"/>
      <c r="R4" s="25" t="s">
        <v>36</v>
      </c>
    </row>
    <row r="5" spans="1:18" s="25" customFormat="1" ht="19.5" customHeight="1">
      <c r="A5" s="71" t="s">
        <v>39</v>
      </c>
      <c r="B5" s="69" t="s">
        <v>37</v>
      </c>
      <c r="C5" s="69" t="s">
        <v>38</v>
      </c>
      <c r="D5" s="69" t="s">
        <v>36</v>
      </c>
      <c r="E5" s="72" t="s">
        <v>22</v>
      </c>
      <c r="F5" s="62"/>
      <c r="G5" s="62"/>
      <c r="H5" s="26"/>
      <c r="I5" s="62"/>
      <c r="J5" s="62"/>
      <c r="K5" s="26"/>
      <c r="L5" s="62"/>
      <c r="M5" s="62"/>
      <c r="N5" s="26"/>
      <c r="O5" s="26"/>
      <c r="P5" s="26"/>
      <c r="Q5" s="27"/>
      <c r="R5" s="25" t="s">
        <v>22</v>
      </c>
    </row>
    <row r="6" spans="1:18" s="25" customFormat="1" ht="15" customHeight="1">
      <c r="A6" s="71" t="s">
        <v>40</v>
      </c>
      <c r="B6" s="70">
        <f>COUNTIF($F$11:$F$2005,B$5)</f>
        <v>11</v>
      </c>
      <c r="C6" s="70">
        <f>COUNTIF($F$11:$F$2005,C$5)</f>
        <v>3</v>
      </c>
      <c r="D6" s="70">
        <f>COUNTIF($F$11:$F$2005,D$5)</f>
        <v>0</v>
      </c>
      <c r="E6" s="76">
        <f>COUNTIF($F$11:$F$2005,E$5)</f>
        <v>0</v>
      </c>
      <c r="F6" s="63"/>
      <c r="G6" s="63"/>
      <c r="H6" s="26"/>
      <c r="I6" s="63"/>
      <c r="J6" s="63"/>
      <c r="K6" s="26"/>
      <c r="L6" s="63"/>
      <c r="M6" s="63"/>
      <c r="N6" s="26"/>
      <c r="O6" s="26"/>
      <c r="P6" s="26"/>
      <c r="Q6" s="27"/>
    </row>
    <row r="7" spans="1:18" s="25" customFormat="1" ht="15" customHeight="1">
      <c r="A7" s="71" t="s">
        <v>42</v>
      </c>
      <c r="B7" s="70">
        <f>COUNTIF($I$11:$I$2005,B$5)</f>
        <v>11</v>
      </c>
      <c r="C7" s="70">
        <f>COUNTIF($I$11:$I$2005,C$5)</f>
        <v>3</v>
      </c>
      <c r="D7" s="70">
        <f>COUNTIF($I$11:$I$2005,D$5)</f>
        <v>0</v>
      </c>
      <c r="E7" s="76">
        <f>COUNTIF($I$11:$I$2005,E$5)</f>
        <v>0</v>
      </c>
      <c r="F7" s="63"/>
      <c r="G7" s="63"/>
      <c r="H7" s="26"/>
      <c r="I7" s="63"/>
      <c r="J7" s="63"/>
      <c r="K7" s="26"/>
      <c r="L7" s="63"/>
      <c r="M7" s="63"/>
      <c r="N7" s="26"/>
      <c r="O7" s="26"/>
      <c r="P7" s="26"/>
      <c r="Q7" s="27"/>
    </row>
    <row r="8" spans="1:18" s="25" customFormat="1" ht="15" customHeight="1" thickBot="1">
      <c r="A8" s="73" t="s">
        <v>43</v>
      </c>
      <c r="B8" s="74">
        <f>COUNTIF($L$11:$L$2005,B$5)</f>
        <v>0</v>
      </c>
      <c r="C8" s="74">
        <f>COUNTIF($L$11:$L$2005,C$5)</f>
        <v>0</v>
      </c>
      <c r="D8" s="74">
        <f>COUNTIF($L$11:$L$2005,D$5)</f>
        <v>0</v>
      </c>
      <c r="E8" s="75">
        <f>COUNTIF($L$11:$L$2005,E$5)</f>
        <v>0</v>
      </c>
      <c r="F8" s="63"/>
      <c r="G8" s="63"/>
      <c r="H8" s="26"/>
      <c r="I8" s="63"/>
      <c r="J8" s="63"/>
      <c r="K8" s="26"/>
      <c r="L8" s="63"/>
      <c r="M8" s="63"/>
      <c r="N8" s="26"/>
      <c r="O8" s="26"/>
      <c r="P8" s="26"/>
      <c r="Q8" s="27"/>
    </row>
    <row r="9" spans="1:18" s="25" customFormat="1" ht="15" customHeight="1">
      <c r="A9" s="26"/>
      <c r="B9" s="26"/>
      <c r="C9" s="26"/>
      <c r="D9" s="26"/>
      <c r="E9" s="26"/>
      <c r="F9" s="28"/>
      <c r="G9" s="26"/>
      <c r="H9" s="26"/>
      <c r="I9" s="28"/>
      <c r="J9" s="26"/>
      <c r="K9" s="26"/>
      <c r="L9" s="28"/>
      <c r="M9" s="26"/>
      <c r="N9" s="26"/>
      <c r="O9" s="26"/>
      <c r="P9" s="26"/>
      <c r="Q9" s="27"/>
    </row>
    <row r="10" spans="1:18" s="25" customFormat="1" ht="25.5" customHeight="1">
      <c r="A10" s="68" t="s">
        <v>44</v>
      </c>
      <c r="B10" s="68" t="s">
        <v>23</v>
      </c>
      <c r="C10" s="68" t="s">
        <v>34</v>
      </c>
      <c r="D10" s="68" t="s">
        <v>33</v>
      </c>
      <c r="E10" s="68" t="s">
        <v>41</v>
      </c>
      <c r="F10" s="68" t="s">
        <v>40</v>
      </c>
      <c r="G10" s="68" t="s">
        <v>24</v>
      </c>
      <c r="H10" s="68" t="s">
        <v>21</v>
      </c>
      <c r="I10" s="68" t="s">
        <v>42</v>
      </c>
      <c r="J10" s="68" t="s">
        <v>24</v>
      </c>
      <c r="K10" s="68" t="s">
        <v>21</v>
      </c>
      <c r="L10" s="68" t="s">
        <v>43</v>
      </c>
      <c r="M10" s="68" t="s">
        <v>24</v>
      </c>
      <c r="N10" s="68" t="s">
        <v>21</v>
      </c>
      <c r="O10" s="68" t="s">
        <v>25</v>
      </c>
      <c r="Q10" s="29"/>
    </row>
    <row r="11" spans="1:18" ht="45.6" customHeight="1" outlineLevel="1">
      <c r="A11" s="31" t="s">
        <v>1238</v>
      </c>
      <c r="B11" s="31" t="s">
        <v>1239</v>
      </c>
      <c r="C11" s="31" t="s">
        <v>1240</v>
      </c>
      <c r="D11" s="33" t="s">
        <v>475</v>
      </c>
      <c r="E11" s="33" t="s">
        <v>1241</v>
      </c>
      <c r="F11" s="111" t="s">
        <v>37</v>
      </c>
      <c r="G11" s="112" t="s">
        <v>472</v>
      </c>
      <c r="H11" s="111" t="s">
        <v>58</v>
      </c>
      <c r="I11" s="111" t="s">
        <v>37</v>
      </c>
      <c r="J11" s="112" t="s">
        <v>472</v>
      </c>
      <c r="K11" s="111" t="s">
        <v>58</v>
      </c>
      <c r="L11" s="111"/>
      <c r="M11" s="112" t="s">
        <v>51</v>
      </c>
      <c r="N11" s="111"/>
      <c r="O11" s="113" t="s">
        <v>59</v>
      </c>
      <c r="Q11" s="32"/>
    </row>
    <row r="12" spans="1:18" ht="45.6" customHeight="1" outlineLevel="1">
      <c r="A12" s="31" t="s">
        <v>1242</v>
      </c>
      <c r="B12" s="31" t="s">
        <v>1243</v>
      </c>
      <c r="C12" s="31" t="s">
        <v>1050</v>
      </c>
      <c r="D12" s="33" t="s">
        <v>1244</v>
      </c>
      <c r="E12" s="33" t="s">
        <v>1241</v>
      </c>
      <c r="F12" s="111" t="s">
        <v>37</v>
      </c>
      <c r="G12" s="112" t="s">
        <v>472</v>
      </c>
      <c r="H12" s="111" t="s">
        <v>58</v>
      </c>
      <c r="I12" s="111" t="s">
        <v>37</v>
      </c>
      <c r="J12" s="112" t="s">
        <v>472</v>
      </c>
      <c r="K12" s="111" t="s">
        <v>58</v>
      </c>
      <c r="L12" s="111"/>
      <c r="M12" s="112" t="s">
        <v>51</v>
      </c>
      <c r="N12" s="111"/>
      <c r="O12" s="113" t="s">
        <v>59</v>
      </c>
      <c r="Q12" s="32"/>
    </row>
    <row r="13" spans="1:18" ht="32.4" customHeight="1" outlineLevel="1">
      <c r="A13" s="31" t="s">
        <v>1245</v>
      </c>
      <c r="B13" s="31" t="s">
        <v>1246</v>
      </c>
      <c r="C13" s="31" t="s">
        <v>984</v>
      </c>
      <c r="D13" s="33" t="s">
        <v>1244</v>
      </c>
      <c r="E13" s="33" t="s">
        <v>986</v>
      </c>
      <c r="F13" s="111" t="s">
        <v>37</v>
      </c>
      <c r="G13" s="112" t="s">
        <v>472</v>
      </c>
      <c r="H13" s="111" t="s">
        <v>58</v>
      </c>
      <c r="I13" s="111" t="s">
        <v>37</v>
      </c>
      <c r="J13" s="112" t="s">
        <v>472</v>
      </c>
      <c r="K13" s="111" t="s">
        <v>58</v>
      </c>
      <c r="L13" s="111"/>
      <c r="M13" s="112" t="s">
        <v>51</v>
      </c>
      <c r="N13" s="111"/>
      <c r="O13" s="113" t="s">
        <v>59</v>
      </c>
      <c r="Q13" s="32"/>
    </row>
    <row r="14" spans="1:18" ht="45.6" customHeight="1" outlineLevel="1">
      <c r="A14" s="31" t="s">
        <v>1247</v>
      </c>
      <c r="B14" s="31" t="s">
        <v>1248</v>
      </c>
      <c r="C14" s="31" t="s">
        <v>1074</v>
      </c>
      <c r="D14" s="33" t="s">
        <v>1244</v>
      </c>
      <c r="E14" s="33" t="s">
        <v>1241</v>
      </c>
      <c r="F14" s="111" t="s">
        <v>37</v>
      </c>
      <c r="G14" s="112" t="s">
        <v>472</v>
      </c>
      <c r="H14" s="111" t="s">
        <v>58</v>
      </c>
      <c r="I14" s="111" t="s">
        <v>37</v>
      </c>
      <c r="J14" s="112" t="s">
        <v>472</v>
      </c>
      <c r="K14" s="111" t="s">
        <v>58</v>
      </c>
      <c r="L14" s="111"/>
      <c r="M14" s="112" t="s">
        <v>51</v>
      </c>
      <c r="N14" s="111"/>
      <c r="O14" s="113" t="s">
        <v>59</v>
      </c>
      <c r="Q14" s="32"/>
    </row>
    <row r="15" spans="1:18" ht="45.6" customHeight="1" outlineLevel="1">
      <c r="A15" s="31" t="s">
        <v>1249</v>
      </c>
      <c r="B15" s="31" t="s">
        <v>1250</v>
      </c>
      <c r="C15" s="31" t="s">
        <v>631</v>
      </c>
      <c r="D15" s="33" t="s">
        <v>1244</v>
      </c>
      <c r="E15" s="33" t="s">
        <v>632</v>
      </c>
      <c r="F15" s="111" t="s">
        <v>37</v>
      </c>
      <c r="G15" s="112" t="s">
        <v>472</v>
      </c>
      <c r="H15" s="111" t="s">
        <v>58</v>
      </c>
      <c r="I15" s="111" t="s">
        <v>37</v>
      </c>
      <c r="J15" s="112" t="s">
        <v>472</v>
      </c>
      <c r="K15" s="111" t="s">
        <v>58</v>
      </c>
      <c r="L15" s="111"/>
      <c r="M15" s="112" t="s">
        <v>51</v>
      </c>
      <c r="N15" s="111"/>
      <c r="O15" s="113" t="s">
        <v>59</v>
      </c>
      <c r="Q15" s="32"/>
    </row>
    <row r="16" spans="1:18" ht="45.6" customHeight="1" outlineLevel="1">
      <c r="A16" s="31" t="s">
        <v>1251</v>
      </c>
      <c r="B16" s="31" t="s">
        <v>1252</v>
      </c>
      <c r="C16" s="31" t="s">
        <v>871</v>
      </c>
      <c r="D16" s="33" t="s">
        <v>1244</v>
      </c>
      <c r="E16" s="33" t="s">
        <v>632</v>
      </c>
      <c r="F16" s="111" t="s">
        <v>37</v>
      </c>
      <c r="G16" s="112" t="s">
        <v>472</v>
      </c>
      <c r="H16" s="111" t="s">
        <v>58</v>
      </c>
      <c r="I16" s="111" t="s">
        <v>37</v>
      </c>
      <c r="J16" s="112" t="s">
        <v>472</v>
      </c>
      <c r="K16" s="111" t="s">
        <v>58</v>
      </c>
      <c r="L16" s="111"/>
      <c r="M16" s="112" t="s">
        <v>51</v>
      </c>
      <c r="N16" s="111"/>
      <c r="O16" s="113" t="s">
        <v>59</v>
      </c>
      <c r="Q16" s="32"/>
    </row>
    <row r="17" spans="1:17" ht="45.6" customHeight="1" outlineLevel="1">
      <c r="A17" s="31" t="s">
        <v>1253</v>
      </c>
      <c r="B17" s="31" t="s">
        <v>1254</v>
      </c>
      <c r="C17" s="31" t="s">
        <v>478</v>
      </c>
      <c r="D17" s="33" t="s">
        <v>1244</v>
      </c>
      <c r="E17" s="33" t="s">
        <v>1241</v>
      </c>
      <c r="F17" s="111" t="s">
        <v>37</v>
      </c>
      <c r="G17" s="112" t="s">
        <v>472</v>
      </c>
      <c r="H17" s="111" t="s">
        <v>58</v>
      </c>
      <c r="I17" s="111" t="s">
        <v>37</v>
      </c>
      <c r="J17" s="112" t="s">
        <v>472</v>
      </c>
      <c r="K17" s="111" t="s">
        <v>58</v>
      </c>
      <c r="L17" s="111"/>
      <c r="M17" s="112" t="s">
        <v>51</v>
      </c>
      <c r="N17" s="111"/>
      <c r="O17" s="113" t="s">
        <v>59</v>
      </c>
      <c r="Q17" s="32"/>
    </row>
    <row r="18" spans="1:17" ht="45.6" customHeight="1" outlineLevel="1">
      <c r="A18" s="31" t="s">
        <v>1255</v>
      </c>
      <c r="B18" s="31" t="s">
        <v>1256</v>
      </c>
      <c r="C18" s="31" t="s">
        <v>478</v>
      </c>
      <c r="D18" s="33" t="s">
        <v>475</v>
      </c>
      <c r="E18" s="33" t="s">
        <v>1241</v>
      </c>
      <c r="F18" s="111" t="s">
        <v>38</v>
      </c>
      <c r="G18" s="112" t="s">
        <v>472</v>
      </c>
      <c r="H18" s="111" t="s">
        <v>58</v>
      </c>
      <c r="I18" s="111" t="s">
        <v>38</v>
      </c>
      <c r="J18" s="112" t="s">
        <v>472</v>
      </c>
      <c r="K18" s="111" t="s">
        <v>58</v>
      </c>
      <c r="L18" s="111"/>
      <c r="M18" s="112" t="s">
        <v>51</v>
      </c>
      <c r="N18" s="111" t="s">
        <v>1255</v>
      </c>
      <c r="O18" s="113" t="s">
        <v>59</v>
      </c>
      <c r="Q18" s="32"/>
    </row>
    <row r="19" spans="1:17" ht="45.6" customHeight="1" outlineLevel="1">
      <c r="A19" s="31" t="s">
        <v>1257</v>
      </c>
      <c r="B19" s="31" t="s">
        <v>1258</v>
      </c>
      <c r="C19" s="31" t="s">
        <v>1259</v>
      </c>
      <c r="D19" s="33" t="s">
        <v>1244</v>
      </c>
      <c r="E19" s="33" t="s">
        <v>105</v>
      </c>
      <c r="F19" s="111" t="s">
        <v>37</v>
      </c>
      <c r="G19" s="112" t="s">
        <v>472</v>
      </c>
      <c r="H19" s="111" t="s">
        <v>58</v>
      </c>
      <c r="I19" s="111" t="s">
        <v>37</v>
      </c>
      <c r="J19" s="112" t="s">
        <v>472</v>
      </c>
      <c r="K19" s="111" t="s">
        <v>58</v>
      </c>
      <c r="L19" s="111"/>
      <c r="M19" s="112" t="s">
        <v>51</v>
      </c>
      <c r="N19" s="111"/>
      <c r="O19" s="113" t="s">
        <v>59</v>
      </c>
      <c r="Q19" s="32"/>
    </row>
    <row r="20" spans="1:17" ht="45.6" customHeight="1" outlineLevel="1">
      <c r="A20" s="31" t="s">
        <v>1260</v>
      </c>
      <c r="B20" s="31" t="s">
        <v>1261</v>
      </c>
      <c r="C20" s="31" t="s">
        <v>871</v>
      </c>
      <c r="D20" s="33" t="s">
        <v>475</v>
      </c>
      <c r="E20" s="33" t="s">
        <v>632</v>
      </c>
      <c r="F20" s="111" t="s">
        <v>38</v>
      </c>
      <c r="G20" s="112" t="s">
        <v>472</v>
      </c>
      <c r="H20" s="111" t="s">
        <v>58</v>
      </c>
      <c r="I20" s="111" t="s">
        <v>38</v>
      </c>
      <c r="J20" s="112" t="s">
        <v>472</v>
      </c>
      <c r="K20" s="111" t="s">
        <v>58</v>
      </c>
      <c r="L20" s="111"/>
      <c r="M20" s="112" t="s">
        <v>51</v>
      </c>
      <c r="N20" s="111" t="s">
        <v>1260</v>
      </c>
      <c r="O20" s="113" t="s">
        <v>59</v>
      </c>
      <c r="Q20" s="32"/>
    </row>
    <row r="21" spans="1:17" ht="32.4" customHeight="1" outlineLevel="1">
      <c r="A21" s="31" t="s">
        <v>1262</v>
      </c>
      <c r="B21" s="31" t="s">
        <v>1263</v>
      </c>
      <c r="C21" s="31" t="s">
        <v>1264</v>
      </c>
      <c r="D21" s="33" t="s">
        <v>1244</v>
      </c>
      <c r="E21" s="33" t="s">
        <v>1265</v>
      </c>
      <c r="F21" s="111" t="s">
        <v>37</v>
      </c>
      <c r="G21" s="112" t="s">
        <v>472</v>
      </c>
      <c r="H21" s="111" t="s">
        <v>58</v>
      </c>
      <c r="I21" s="111" t="s">
        <v>37</v>
      </c>
      <c r="J21" s="112" t="s">
        <v>472</v>
      </c>
      <c r="K21" s="111" t="s">
        <v>58</v>
      </c>
      <c r="L21" s="111"/>
      <c r="M21" s="112" t="s">
        <v>51</v>
      </c>
      <c r="N21" s="111"/>
      <c r="O21" s="113" t="s">
        <v>59</v>
      </c>
      <c r="Q21" s="32"/>
    </row>
    <row r="22" spans="1:17" ht="45.6" customHeight="1" outlineLevel="1">
      <c r="A22" s="31" t="s">
        <v>1266</v>
      </c>
      <c r="B22" s="31" t="s">
        <v>1267</v>
      </c>
      <c r="C22" s="31" t="s">
        <v>1268</v>
      </c>
      <c r="D22" s="33" t="s">
        <v>772</v>
      </c>
      <c r="E22" s="33" t="s">
        <v>1241</v>
      </c>
      <c r="F22" s="111" t="s">
        <v>37</v>
      </c>
      <c r="G22" s="112" t="s">
        <v>472</v>
      </c>
      <c r="H22" s="111" t="s">
        <v>58</v>
      </c>
      <c r="I22" s="111" t="s">
        <v>37</v>
      </c>
      <c r="J22" s="112" t="s">
        <v>472</v>
      </c>
      <c r="K22" s="111" t="s">
        <v>58</v>
      </c>
      <c r="L22" s="111"/>
      <c r="M22" s="112" t="s">
        <v>51</v>
      </c>
      <c r="N22" s="111"/>
      <c r="O22" s="113" t="s">
        <v>59</v>
      </c>
      <c r="Q22" s="32"/>
    </row>
    <row r="23" spans="1:17" ht="72" customHeight="1" outlineLevel="1">
      <c r="A23" s="31" t="s">
        <v>1269</v>
      </c>
      <c r="B23" s="31" t="s">
        <v>1270</v>
      </c>
      <c r="C23" s="31" t="s">
        <v>1271</v>
      </c>
      <c r="D23" s="33" t="s">
        <v>772</v>
      </c>
      <c r="E23" s="33" t="s">
        <v>1172</v>
      </c>
      <c r="F23" s="111" t="s">
        <v>37</v>
      </c>
      <c r="G23" s="112" t="s">
        <v>472</v>
      </c>
      <c r="H23" s="111" t="s">
        <v>58</v>
      </c>
      <c r="I23" s="111" t="s">
        <v>37</v>
      </c>
      <c r="J23" s="112" t="s">
        <v>472</v>
      </c>
      <c r="K23" s="111" t="s">
        <v>58</v>
      </c>
      <c r="L23" s="111"/>
      <c r="M23" s="112" t="s">
        <v>51</v>
      </c>
      <c r="N23" s="111"/>
      <c r="O23" s="113" t="s">
        <v>59</v>
      </c>
      <c r="Q23" s="32"/>
    </row>
    <row r="24" spans="1:17" ht="45.6" customHeight="1" outlineLevel="1">
      <c r="A24" s="31" t="s">
        <v>1272</v>
      </c>
      <c r="B24" s="31" t="s">
        <v>1273</v>
      </c>
      <c r="C24" s="31" t="s">
        <v>1274</v>
      </c>
      <c r="D24" s="33" t="s">
        <v>489</v>
      </c>
      <c r="E24" s="33" t="s">
        <v>711</v>
      </c>
      <c r="F24" s="111" t="s">
        <v>38</v>
      </c>
      <c r="G24" s="112" t="s">
        <v>472</v>
      </c>
      <c r="H24" s="111" t="s">
        <v>58</v>
      </c>
      <c r="I24" s="111" t="s">
        <v>38</v>
      </c>
      <c r="J24" s="112" t="s">
        <v>472</v>
      </c>
      <c r="K24" s="111" t="s">
        <v>58</v>
      </c>
      <c r="L24" s="111"/>
      <c r="M24" s="112" t="s">
        <v>51</v>
      </c>
      <c r="N24" s="111" t="s">
        <v>1272</v>
      </c>
      <c r="O24" s="113" t="s">
        <v>59</v>
      </c>
      <c r="Q24" s="32"/>
    </row>
  </sheetData>
  <mergeCells count="3">
    <mergeCell ref="B2:E2"/>
    <mergeCell ref="B3:E3"/>
    <mergeCell ref="B4:E4"/>
  </mergeCells>
  <dataValidations count="3">
    <dataValidation allowBlank="1" showErrorMessage="1" sqref="F10 I10 L10" xr:uid="{FEAB2B09-9033-4A37-B95F-BC9CEE627084}"/>
    <dataValidation type="list" allowBlank="1" showErrorMessage="1" sqref="G2:G3 G9 G25:G152 J2:J3 J9 J25:J152 M2:M3 M9 M25:M152" xr:uid="{05FB2107-3806-48C1-AC1E-B46334810571}">
      <formula1>$R$2:$R$5</formula1>
      <formula2>0</formula2>
    </dataValidation>
    <dataValidation type="list" allowBlank="1" showInputMessage="1" showErrorMessage="1" sqref="F11:F24 I11:I24 L11:L24" xr:uid="{D4E814DD-A760-4220-A363-0A9DD70556EF}">
      <formula1>$R$2:$R$5</formula1>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CC3EF-C06B-45B8-B538-364F3DF4A782}">
  <sheetPr>
    <outlinePr summaryBelow="0" summaryRight="0"/>
  </sheetPr>
  <dimension ref="A1:R19"/>
  <sheetViews>
    <sheetView zoomScale="85" zoomScaleNormal="85" workbookViewId="0">
      <pane ySplit="10" topLeftCell="A11" activePane="bottomLeft" state="frozen"/>
      <selection pane="bottomLeft"/>
    </sheetView>
  </sheetViews>
  <sheetFormatPr defaultColWidth="9" defaultRowHeight="13.2" outlineLevelRow="1" outlineLevelCol="1"/>
  <cols>
    <col min="1" max="1" width="10.77734375" style="114" customWidth="1"/>
    <col min="2" max="2" width="36.77734375" style="114" customWidth="1"/>
    <col min="3" max="3" width="30.77734375" style="114" customWidth="1"/>
    <col min="4" max="4" width="12.77734375" style="114" customWidth="1"/>
    <col min="5" max="5" width="10.77734375" style="114" customWidth="1"/>
    <col min="6" max="6" width="50.77734375" style="114" customWidth="1"/>
    <col min="7" max="7" width="42.77734375" style="114" customWidth="1" outlineLevel="1"/>
    <col min="8" max="8" width="9.77734375" style="114" customWidth="1" outlineLevel="1"/>
    <col min="9" max="9" width="24.77734375" style="114" customWidth="1"/>
    <col min="10" max="10" width="10.6640625" style="114" customWidth="1" outlineLevel="1"/>
    <col min="11" max="11" width="7" style="114" bestFit="1" customWidth="1" outlineLevel="1"/>
    <col min="12" max="12" width="9.33203125" style="114" customWidth="1"/>
    <col min="13" max="13" width="10.6640625" style="114" customWidth="1" outlineLevel="1"/>
    <col min="14" max="14" width="7" style="114" bestFit="1" customWidth="1" outlineLevel="1"/>
    <col min="15" max="15" width="28.6640625" style="114" customWidth="1"/>
    <col min="16" max="16" width="10.109375" style="114" customWidth="1"/>
    <col min="17" max="17" width="8.109375" style="114" customWidth="1"/>
    <col min="18" max="18" width="7.6640625" style="114" hidden="1" customWidth="1"/>
    <col min="19" max="16384" width="9" style="114"/>
  </cols>
  <sheetData>
    <row r="1" spans="1:9" ht="24.6">
      <c r="A1" s="115" t="s">
        <v>1275</v>
      </c>
    </row>
    <row r="2" spans="1:9" ht="30" customHeight="1">
      <c r="A2" s="117" t="s">
        <v>1276</v>
      </c>
      <c r="B2" s="116"/>
      <c r="C2" s="116"/>
      <c r="D2" s="116"/>
      <c r="E2" s="116"/>
      <c r="F2" s="116"/>
      <c r="G2" s="116"/>
      <c r="H2" s="116"/>
      <c r="I2" s="116"/>
    </row>
    <row r="4" spans="1:9" ht="18" customHeight="1">
      <c r="A4" s="68" t="s">
        <v>1277</v>
      </c>
      <c r="B4" s="68" t="s">
        <v>1278</v>
      </c>
      <c r="C4" s="68" t="s">
        <v>1279</v>
      </c>
      <c r="D4" s="68" t="s">
        <v>1280</v>
      </c>
      <c r="E4" s="68" t="s">
        <v>1281</v>
      </c>
      <c r="F4" s="68" t="s">
        <v>1282</v>
      </c>
      <c r="G4" s="68" t="s">
        <v>1283</v>
      </c>
      <c r="H4" s="68" t="s">
        <v>1284</v>
      </c>
      <c r="I4" s="68" t="s">
        <v>1285</v>
      </c>
    </row>
    <row r="5" spans="1:9" ht="58.8" customHeight="1">
      <c r="A5" s="119" t="s">
        <v>1238</v>
      </c>
      <c r="B5" s="118" t="s">
        <v>1286</v>
      </c>
      <c r="C5" s="118" t="s">
        <v>1287</v>
      </c>
      <c r="D5" s="119" t="s">
        <v>1288</v>
      </c>
      <c r="E5" s="119" t="s">
        <v>1289</v>
      </c>
      <c r="F5" s="118" t="s">
        <v>1290</v>
      </c>
      <c r="G5" s="118" t="s">
        <v>1291</v>
      </c>
      <c r="H5" s="119" t="s">
        <v>1292</v>
      </c>
      <c r="I5" s="118" t="s">
        <v>1293</v>
      </c>
    </row>
    <row r="6" spans="1:9" ht="32.4" customHeight="1">
      <c r="A6" s="119" t="s">
        <v>1242</v>
      </c>
      <c r="B6" s="118" t="s">
        <v>1294</v>
      </c>
      <c r="C6" s="118" t="s">
        <v>1295</v>
      </c>
      <c r="D6" s="119" t="s">
        <v>421</v>
      </c>
      <c r="E6" s="119" t="s">
        <v>1289</v>
      </c>
      <c r="F6" s="118" t="s">
        <v>1296</v>
      </c>
      <c r="G6" s="118" t="s">
        <v>1297</v>
      </c>
      <c r="H6" s="119" t="s">
        <v>1292</v>
      </c>
      <c r="I6" s="118" t="s">
        <v>1298</v>
      </c>
    </row>
    <row r="7" spans="1:9" ht="32.4" customHeight="1">
      <c r="A7" s="119" t="s">
        <v>1245</v>
      </c>
      <c r="B7" s="118" t="s">
        <v>1299</v>
      </c>
      <c r="C7" s="118" t="s">
        <v>1300</v>
      </c>
      <c r="D7" s="119" t="s">
        <v>421</v>
      </c>
      <c r="E7" s="119" t="s">
        <v>1289</v>
      </c>
      <c r="F7" s="118" t="s">
        <v>1301</v>
      </c>
      <c r="G7" s="118" t="s">
        <v>1302</v>
      </c>
      <c r="H7" s="119" t="s">
        <v>1292</v>
      </c>
      <c r="I7" s="118" t="s">
        <v>1303</v>
      </c>
    </row>
    <row r="8" spans="1:9" ht="32.4" customHeight="1">
      <c r="A8" s="119" t="s">
        <v>1247</v>
      </c>
      <c r="B8" s="118" t="s">
        <v>1304</v>
      </c>
      <c r="C8" s="118" t="s">
        <v>1305</v>
      </c>
      <c r="D8" s="119" t="s">
        <v>421</v>
      </c>
      <c r="E8" s="119" t="s">
        <v>1289</v>
      </c>
      <c r="F8" s="118" t="s">
        <v>1306</v>
      </c>
      <c r="G8" s="118" t="s">
        <v>1302</v>
      </c>
      <c r="H8" s="119" t="s">
        <v>1292</v>
      </c>
      <c r="I8" s="118" t="s">
        <v>1307</v>
      </c>
    </row>
    <row r="9" spans="1:9" ht="32.4" customHeight="1">
      <c r="A9" s="119" t="s">
        <v>1249</v>
      </c>
      <c r="B9" s="118" t="s">
        <v>1308</v>
      </c>
      <c r="C9" s="118" t="s">
        <v>1309</v>
      </c>
      <c r="D9" s="119" t="s">
        <v>421</v>
      </c>
      <c r="E9" s="119" t="s">
        <v>1289</v>
      </c>
      <c r="F9" s="118" t="s">
        <v>1310</v>
      </c>
      <c r="G9" s="118" t="s">
        <v>1302</v>
      </c>
      <c r="H9" s="119" t="s">
        <v>1292</v>
      </c>
      <c r="I9" s="118" t="s">
        <v>1311</v>
      </c>
    </row>
    <row r="10" spans="1:9" ht="32.4" customHeight="1">
      <c r="A10" s="119" t="s">
        <v>1251</v>
      </c>
      <c r="B10" s="118" t="s">
        <v>1312</v>
      </c>
      <c r="C10" s="118" t="s">
        <v>1313</v>
      </c>
      <c r="D10" s="119" t="s">
        <v>421</v>
      </c>
      <c r="E10" s="119" t="s">
        <v>1289</v>
      </c>
      <c r="F10" s="118" t="s">
        <v>1314</v>
      </c>
      <c r="G10" s="118" t="s">
        <v>1302</v>
      </c>
      <c r="H10" s="119" t="s">
        <v>1292</v>
      </c>
      <c r="I10" s="118" t="s">
        <v>1315</v>
      </c>
    </row>
    <row r="11" spans="1:9" ht="32.4" customHeight="1">
      <c r="A11" s="119" t="s">
        <v>1253</v>
      </c>
      <c r="B11" s="118" t="s">
        <v>1316</v>
      </c>
      <c r="C11" s="118" t="s">
        <v>1317</v>
      </c>
      <c r="D11" s="119" t="s">
        <v>421</v>
      </c>
      <c r="E11" s="119" t="s">
        <v>1289</v>
      </c>
      <c r="F11" s="118" t="s">
        <v>1318</v>
      </c>
      <c r="G11" s="118" t="s">
        <v>1319</v>
      </c>
      <c r="H11" s="119" t="s">
        <v>1292</v>
      </c>
      <c r="I11" s="118" t="s">
        <v>1320</v>
      </c>
    </row>
    <row r="12" spans="1:9" ht="32.4" customHeight="1" outlineLevel="1">
      <c r="A12" s="119" t="s">
        <v>1257</v>
      </c>
      <c r="B12" s="118" t="s">
        <v>1321</v>
      </c>
      <c r="C12" s="118" t="s">
        <v>1322</v>
      </c>
      <c r="D12" s="119" t="s">
        <v>421</v>
      </c>
      <c r="E12" s="119" t="s">
        <v>1323</v>
      </c>
      <c r="F12" s="118" t="s">
        <v>1324</v>
      </c>
      <c r="G12" s="118" t="s">
        <v>1319</v>
      </c>
      <c r="H12" s="119" t="s">
        <v>1292</v>
      </c>
      <c r="I12" s="118" t="s">
        <v>1325</v>
      </c>
    </row>
    <row r="13" spans="1:9" ht="45.6" customHeight="1" outlineLevel="1">
      <c r="A13" s="119" t="s">
        <v>1262</v>
      </c>
      <c r="B13" s="118" t="s">
        <v>1326</v>
      </c>
      <c r="C13" s="118" t="s">
        <v>1327</v>
      </c>
      <c r="D13" s="119" t="s">
        <v>421</v>
      </c>
      <c r="E13" s="119" t="s">
        <v>1323</v>
      </c>
      <c r="F13" s="118" t="s">
        <v>1328</v>
      </c>
      <c r="G13" s="118" t="s">
        <v>1329</v>
      </c>
      <c r="H13" s="119" t="s">
        <v>1292</v>
      </c>
      <c r="I13" s="118" t="s">
        <v>1330</v>
      </c>
    </row>
    <row r="14" spans="1:9" ht="45.6" customHeight="1" outlineLevel="1">
      <c r="A14" s="119" t="s">
        <v>1266</v>
      </c>
      <c r="B14" s="118" t="s">
        <v>1331</v>
      </c>
      <c r="C14" s="118" t="s">
        <v>1332</v>
      </c>
      <c r="D14" s="119" t="s">
        <v>1288</v>
      </c>
      <c r="E14" s="119" t="s">
        <v>1289</v>
      </c>
      <c r="F14" s="118" t="s">
        <v>1333</v>
      </c>
      <c r="G14" s="118" t="s">
        <v>1334</v>
      </c>
      <c r="H14" s="119" t="s">
        <v>1292</v>
      </c>
      <c r="I14" s="118" t="s">
        <v>1335</v>
      </c>
    </row>
    <row r="15" spans="1:9" ht="45.6" customHeight="1">
      <c r="A15" s="119" t="s">
        <v>1269</v>
      </c>
      <c r="B15" s="118" t="s">
        <v>1336</v>
      </c>
      <c r="C15" s="118" t="s">
        <v>1337</v>
      </c>
      <c r="D15" s="119" t="s">
        <v>1338</v>
      </c>
      <c r="E15" s="119" t="s">
        <v>1289</v>
      </c>
      <c r="F15" s="118" t="s">
        <v>1339</v>
      </c>
      <c r="G15" s="118" t="s">
        <v>1340</v>
      </c>
      <c r="H15" s="119" t="s">
        <v>1292</v>
      </c>
      <c r="I15" s="118" t="s">
        <v>1341</v>
      </c>
    </row>
    <row r="16" spans="1:9" ht="45.6" customHeight="1" outlineLevel="1">
      <c r="A16" s="119" t="s">
        <v>1255</v>
      </c>
      <c r="B16" s="118" t="s">
        <v>1342</v>
      </c>
      <c r="C16" s="118" t="s">
        <v>1317</v>
      </c>
      <c r="D16" s="119" t="s">
        <v>1288</v>
      </c>
      <c r="E16" s="119" t="s">
        <v>1323</v>
      </c>
      <c r="F16" s="118" t="s">
        <v>1343</v>
      </c>
      <c r="G16" s="118" t="s">
        <v>1344</v>
      </c>
      <c r="H16" s="119" t="s">
        <v>1345</v>
      </c>
      <c r="I16" s="118" t="s">
        <v>1346</v>
      </c>
    </row>
    <row r="17" spans="1:9" ht="58.8" customHeight="1" outlineLevel="1">
      <c r="A17" s="119" t="s">
        <v>1260</v>
      </c>
      <c r="B17" s="118" t="s">
        <v>1347</v>
      </c>
      <c r="C17" s="118" t="s">
        <v>1313</v>
      </c>
      <c r="D17" s="119" t="s">
        <v>1288</v>
      </c>
      <c r="E17" s="119" t="s">
        <v>1323</v>
      </c>
      <c r="F17" s="118" t="s">
        <v>1348</v>
      </c>
      <c r="G17" s="118" t="s">
        <v>1349</v>
      </c>
      <c r="H17" s="119" t="s">
        <v>1345</v>
      </c>
      <c r="I17" s="118" t="s">
        <v>1350</v>
      </c>
    </row>
    <row r="18" spans="1:9" ht="32.4" customHeight="1">
      <c r="A18" s="119" t="s">
        <v>1272</v>
      </c>
      <c r="B18" s="118" t="s">
        <v>1351</v>
      </c>
      <c r="C18" s="118" t="s">
        <v>1352</v>
      </c>
      <c r="D18" s="119" t="s">
        <v>1353</v>
      </c>
      <c r="E18" s="119" t="s">
        <v>1354</v>
      </c>
      <c r="F18" s="118" t="s">
        <v>1355</v>
      </c>
      <c r="G18" s="118" t="s">
        <v>1356</v>
      </c>
      <c r="H18" s="119" t="s">
        <v>1345</v>
      </c>
      <c r="I18" s="118" t="s">
        <v>1357</v>
      </c>
    </row>
    <row r="19" spans="1:9" outlineLevel="1"/>
  </sheetData>
  <mergeCells count="1">
    <mergeCell ref="A2:I2"/>
  </mergeCell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Cover</vt:lpstr>
      <vt:lpstr>Test Cases</vt:lpstr>
      <vt:lpstr>Test Statistics</vt:lpstr>
      <vt:lpstr>Authentication</vt:lpstr>
      <vt:lpstr>Cart and Checkout</vt:lpstr>
      <vt:lpstr>Payment and Cancellation</vt:lpstr>
      <vt:lpstr>Delivery</vt:lpstr>
      <vt:lpstr>Returns Refunds and Exchanges</vt:lpstr>
      <vt:lpstr>API Authorization and Robustnes</vt:lpstr>
      <vt:lpstr>Catalog</vt:lpstr>
      <vt:lpstr>3D Model Queue</vt:lpstr>
      <vt:lpstr>Store and Staff</vt:lpstr>
      <vt:lpstr>User Administration</vt:lpstr>
      <vt:lpstr>Scoring Configuration</vt:lpstr>
      <vt:lpstr>Workspace Profile</vt:lpstr>
      <vt:lpstr>Recommendation and Review</vt:lpstr>
      <vt:lpstr>Shipping and Notification</vt:lpstr>
      <vt:lpstr>Address and Taxonomy</vt:lpstr>
      <vt:lpstr>SLA and Refund Pipeline</vt:lpstr>
      <vt:lpstr>Vendor Liability</vt:lpstr>
      <vt:lpstr>Defect Probes</vt:lpstr>
      <vt:lpstr>Defect Log</vt:lpstr>
    </vt:vector>
  </TitlesOfParts>
  <Company>FSOFT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dc:title>
  <dc:subject>v1/0</dc:subject>
  <dc:creator>Kien Nguyen</dc:creator>
  <dc:description>Updates sheet Cover: Add logo, document code, creator, reviewer/approver._x000d_
Add sheet Test Case List._x000d_
Change Sheet Company, User, Provider to Modules. Add column Inter-test case dependent. Update these sheets._x000d_
Update Test Report</dc:description>
  <cp:lastModifiedBy>Dũng Vũ</cp:lastModifiedBy>
  <cp:lastPrinted>2010-11-12T10:33:20Z</cp:lastPrinted>
  <dcterms:created xsi:type="dcterms:W3CDTF">2020-03-17T17:34:29Z</dcterms:created>
  <dcterms:modified xsi:type="dcterms:W3CDTF">2026-09-25T01:33:48Z</dcterms:modified>
  <cp:category>BM</cp:category>
</cp:coreProperties>
</file>