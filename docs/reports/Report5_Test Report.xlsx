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s\SEP490\FengDeskAI\docs\reports\"/>
    </mc:Choice>
  </mc:AlternateContent>
  <xr:revisionPtr revIDLastSave="0" documentId="13_ncr:1_{265FA54C-008E-4E41-AC56-F753CE09EA50}" xr6:coauthVersionLast="47" xr6:coauthVersionMax="47" xr10:uidLastSave="{00000000-0000-0000-0000-000000000000}"/>
  <bookViews>
    <workbookView minimized="1" xWindow="4500" yWindow="4500" windowWidth="22248" windowHeight="12660" tabRatio="821" activeTab="3" xr2:uid="{00000000-000D-0000-FFFF-FFFF00000000}"/>
  </bookViews>
  <sheets>
    <sheet name="Cover" sheetId="1" r:id="rId1"/>
    <sheet name="Test Cases" sheetId="2" r:id="rId2"/>
    <sheet name="Test Statistics" sheetId="3" r:id="rId3"/>
    <sheet name="Authentication" sheetId="4" r:id="rId4"/>
    <sheet name="Cart and Checkout" sheetId="5" r:id="rId5"/>
    <sheet name="Payment and Cancellation" sheetId="6" r:id="rId6"/>
    <sheet name="Delivery" sheetId="7" r:id="rId7"/>
    <sheet name="Returns Refunds and Exchanges" sheetId="8" r:id="rId8"/>
    <sheet name="API Authorization and Robustnes" sheetId="9" r:id="rId9"/>
  </sheets>
  <definedNames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9" l="1"/>
  <c r="D8" i="9"/>
  <c r="C8" i="9"/>
  <c r="B8" i="9"/>
  <c r="B4" i="9"/>
  <c r="E8" i="8"/>
  <c r="D8" i="8"/>
  <c r="C8" i="8"/>
  <c r="B8" i="8"/>
  <c r="B4" i="8"/>
  <c r="E8" i="7"/>
  <c r="D8" i="7"/>
  <c r="C8" i="7"/>
  <c r="B8" i="7"/>
  <c r="B4" i="7"/>
  <c r="E8" i="6"/>
  <c r="D8" i="6"/>
  <c r="C8" i="6"/>
  <c r="B8" i="6"/>
  <c r="B4" i="6"/>
  <c r="E8" i="5"/>
  <c r="D8" i="5"/>
  <c r="C8" i="5"/>
  <c r="B8" i="5"/>
  <c r="B4" i="5"/>
  <c r="E8" i="4"/>
  <c r="D8" i="4"/>
  <c r="C8" i="4"/>
  <c r="B8" i="4"/>
  <c r="B4" i="4"/>
  <c r="D3" i="2"/>
  <c r="B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10" authorId="0" shapeId="0" xr:uid="{00000000-0006-0000-0000-000001000000}">
      <text>
        <r>
          <rPr>
            <sz val="11"/>
            <rFont val="ＭＳ Ｐゴシック"/>
            <charset val="128"/>
          </rPr>
          <t xml:space="preserve">*A: Add
  M: Modify
  D: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3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4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5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6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7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8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<sst xmlns="http://schemas.openxmlformats.org/spreadsheetml/2006/main" count="1210" uniqueCount="447">
  <si>
    <t>TEST REPORT DOCUMENT</t>
  </si>
  <si>
    <t>SU26SE093</t>
  </si>
  <si>
    <t>17/08/2026</t>
  </si>
  <si>
    <t>Project Name</t>
  </si>
  <si>
    <t>FengDesk AI - Intelligent Workspace Feng Shui Plant Recommendation &amp; E-Commerce Platform</t>
  </si>
  <si>
    <t>Creator</t>
  </si>
  <si>
    <t>Project Code</t>
  </si>
  <si>
    <t>Issue Date</t>
  </si>
  <si>
    <t>Document Code</t>
  </si>
  <si>
    <t>Version</t>
  </si>
  <si>
    <t>All sheets</t>
  </si>
  <si>
    <t>A</t>
  </si>
  <si>
    <t>Initial version of the integration test report.</t>
  </si>
  <si>
    <t>Report5_Test Documentation.docx</t>
  </si>
  <si>
    <t>Record of change</t>
  </si>
  <si>
    <t>Effective Date</t>
  </si>
  <si>
    <t>Change Item</t>
  </si>
  <si>
    <t>*A,D,M</t>
  </si>
  <si>
    <t>Change description</t>
  </si>
  <si>
    <t>Reference</t>
  </si>
  <si>
    <t>Authentication, Test Statistics</t>
  </si>
  <si>
    <t>Added the 17 multi-step authentication cases (registration, forgot password, change of email) that were executed but not yet listed. The workbook now holds all 88 integration cases.</t>
  </si>
  <si>
    <t>TEST CASE LIST</t>
  </si>
  <si>
    <t>API hosted in process over real HTTP, backed by a PostgreSQL database dedicated to testing. External services (SMTP, PayOS, GHN, Meshy, Google, LLM relay) are replaced by in-process fakes. Command: dotnet test FengDeskAI.slnx</t>
  </si>
  <si>
    <t>Test Environment Setup Description</t>
  </si>
  <si>
    <t>&lt;List enviroment requires in this system
1. Server
2. Database
3. Web Browser
...
&gt;</t>
  </si>
  <si>
    <t>Authentication</t>
  </si>
  <si>
    <t>UC-01 Register / Login. Sign in, current user profile and Google sign in. Flows that need a real mailbox are out of scope (section 1.2).</t>
  </si>
  <si>
    <t>See the Pre-Condition column of each case in the feature sheet.</t>
  </si>
  <si>
    <t>Cart and Checkout</t>
  </si>
  <si>
    <t>UC-09, UC-10. Shopping cart, checkout and the splitting of one cart into one sub order per garden (BR-04, BR-05).</t>
  </si>
  <si>
    <t>Payment and Cancellation</t>
  </si>
  <si>
    <t>UC-11. Payment link creation for online orders and order cancellation. Real settlement is out of scope (section 1.2).</t>
  </si>
  <si>
    <t>Delivery</t>
  </si>
  <si>
    <t>UC-20, UC-23. Visibility of deliveries for the garden that must fulfil them.</t>
  </si>
  <si>
    <t>Returns Refunds and Exchanges</t>
  </si>
  <si>
    <t>UC-15, UC-28, UC-29, UC-30. Return request, staff decision and refund. Photo evidence is mandatory (BR-08) and dead plants are never recalled (BR-09).</t>
  </si>
  <si>
    <t>API Authorization and Robustness</t>
  </si>
  <si>
    <t>API Authorization and Robustnes</t>
  </si>
  <si>
    <t>Cross cutting. Generated from the routing table, so all 242 endpoints are covered and any endpoint added later is covered automatically.</t>
  </si>
  <si>
    <t>TEST STATISTICS</t>
  </si>
  <si>
    <t>Vu Manh Dung</t>
  </si>
  <si>
    <t>SU26SE093_Test Report_v1.0</t>
  </si>
  <si>
    <t>Reviewer/Approver</t>
  </si>
  <si>
    <t>Authentication, cart and checkout, payment and cancellation, delivery, returns and refunds, API authorization and robustness.</t>
  </si>
  <si>
    <t>&lt;Date when this test report is created&gt;</t>
  </si>
  <si>
    <t>Notes</t>
  </si>
  <si>
    <t>&lt;List modules included in this release&gt; ex: Release 1 includes 2 modules: Module1 and Module2</t>
  </si>
  <si>
    <t>Sub total</t>
  </si>
  <si>
    <t>Feature</t>
  </si>
  <si>
    <t>UC-01 Register / Login. Registration, sign-in, account recovery, change of email, Google sign-in and the access token of every role.</t>
  </si>
  <si>
    <t>Passed</t>
  </si>
  <si>
    <t>Test requirement</t>
  </si>
  <si>
    <t>Failed</t>
  </si>
  <si>
    <t>Number of TCs</t>
  </si>
  <si>
    <t>Pending</t>
  </si>
  <si>
    <t>Round 1</t>
  </si>
  <si>
    <t>N/A</t>
  </si>
  <si>
    <t>Round 2</t>
  </si>
  <si>
    <t>Round 3</t>
  </si>
  <si>
    <t>AUTH-LOGIN-01</t>
  </si>
  <si>
    <t>[Normal] Sign in with a correct email and password</t>
  </si>
  <si>
    <t>Send POST /api/Auth/login with the correct email and password of the Customer account</t>
  </si>
  <si>
    <t>Returns 200 with an access token, a refresh token and the user profile</t>
  </si>
  <si>
    <t>A Customer account exists and is active</t>
  </si>
  <si>
    <t>Automated</t>
  </si>
  <si>
    <t>AUTH-LOGIN-02</t>
  </si>
  <si>
    <t>[Abnormal] Sign in with a wrong password</t>
  </si>
  <si>
    <t>Send POST /api/Auth/login with the correct email but a wrong password</t>
  </si>
  <si>
    <t>Returns 401 with a generic message that does not reveal whether the email or the password was wrong</t>
  </si>
  <si>
    <t>A Customer account exists</t>
  </si>
  <si>
    <t>AUTH-LOGIN-03</t>
  </si>
  <si>
    <t>[Abnormal] Sign in with an email that is not registered</t>
  </si>
  <si>
    <t>Send POST /api/Auth/login with an email that was never registered</t>
  </si>
  <si>
    <t>Returns 401 with exactly the same message as the wrong-password case, so registered emails cannot be enumerated</t>
  </si>
  <si>
    <t>The email does not exist in the system</t>
  </si>
  <si>
    <t>AUTH-LOGIN-04</t>
  </si>
  <si>
    <t>[Boundary] Sign in with an empty password</t>
  </si>
  <si>
    <t>Send POST /api/Auth/login with an empty password string</t>
  </si>
  <si>
    <t>Returns 401 without raising a server error</t>
  </si>
  <si>
    <t>AUTH-LOGIN-05</t>
  </si>
  <si>
    <t>[Normal] Sign in with the email in a different letter case</t>
  </si>
  <si>
    <t>Send POST /api/Auth/login with the email written entirely in uppercase</t>
  </si>
  <si>
    <t>Returns 200 because the email is normalised to lowercase before lookup</t>
  </si>
  <si>
    <t>A Customer account exists with a lowercase email</t>
  </si>
  <si>
    <t>AUTH-ME-01</t>
  </si>
  <si>
    <t>[Abnormal] Call the current-user endpoint without signing in</t>
  </si>
  <si>
    <t>Send GET /api/Auth/me without a bearer token</t>
  </si>
  <si>
    <t>Returns 401</t>
  </si>
  <si>
    <t>No Authorization header is attached</t>
  </si>
  <si>
    <t>AUTH-ME-02</t>
  </si>
  <si>
    <t>[Normal] Call the current-user endpoint with a valid token</t>
  </si>
  <si>
    <t>Send GET /api/Auth/me with the Customer bearer token</t>
  </si>
  <si>
    <t>Returns 200 with the profile of the signed-in account</t>
  </si>
  <si>
    <t>Signed in as the Customer account</t>
  </si>
  <si>
    <t>AUTH-GOOGLE-01</t>
  </si>
  <si>
    <t>[Normal] First Google sign in creates a new account</t>
  </si>
  <si>
    <t>Send POST /api/Auth/google with a valid Google credential for an email that has no account</t>
  </si>
  <si>
    <t>Returns 200 with an access token; the account is created with no password</t>
  </si>
  <si>
    <t>The email has never been registered</t>
  </si>
  <si>
    <t>AUTH-GOOGLE-02</t>
  </si>
  <si>
    <t>[Abnormal] A Google only account cannot sign in with a password</t>
  </si>
  <si>
    <t>Create an account through Google sign in, then call POST /api/Auth/login with that email</t>
  </si>
  <si>
    <t>Returns 401 because the account has no password yet</t>
  </si>
  <si>
    <t>The account was created through Google sign in</t>
  </si>
  <si>
    <t>AUTH-GOOGLE-03</t>
  </si>
  <si>
    <t>[Abnormal] An invalid Google ID token is rejected</t>
  </si>
  <si>
    <t>Send POST /api/Auth/google with a made up credential</t>
  </si>
  <si>
    <t>Returns 401 and no account is created</t>
  </si>
  <si>
    <t>None</t>
  </si>
  <si>
    <t>AUTH-TOKEN-01</t>
  </si>
  <si>
    <t>[Normal] The Customer token reaches the current user endpoint</t>
  </si>
  <si>
    <t>Sign in as Customer, then call GET /api/Auth/me with that token</t>
  </si>
  <si>
    <t>Returns 200 with the profile of the Customer account</t>
  </si>
  <si>
    <t>AUTH-TOKEN-02</t>
  </si>
  <si>
    <t>[Normal] The Staff token reaches the current user endpoint</t>
  </si>
  <si>
    <t>Sign in as Staff, then call GET /api/Auth/me with that token</t>
  </si>
  <si>
    <t>Returns 200 with the profile of the Staff account</t>
  </si>
  <si>
    <t>A Staff account exists and is active</t>
  </si>
  <si>
    <t>AUTH-TOKEN-03</t>
  </si>
  <si>
    <t>[Normal] The Manager token reaches the current user endpoint</t>
  </si>
  <si>
    <t>Sign in as Manager, then call GET /api/Auth/me with that token</t>
  </si>
  <si>
    <t>Returns 200 with the profile of the Manager account</t>
  </si>
  <si>
    <t>A Manager account exists and is active</t>
  </si>
  <si>
    <t>AUTH-TOKEN-04</t>
  </si>
  <si>
    <t>[Normal] The Admin token reaches the current user endpoint</t>
  </si>
  <si>
    <t>Sign in as Admin, then call GET /api/Auth/me with that token</t>
  </si>
  <si>
    <t>Returns 200 with the profile of the Admin account</t>
  </si>
  <si>
    <t>A Admin account exists and is active</t>
  </si>
  <si>
    <t>AUTH-TOKEN-05</t>
  </si>
  <si>
    <t>[Normal] The Garden Owner token reaches the current user endpoint</t>
  </si>
  <si>
    <t>Sign in as Garden Owner, then call GET /api/Auth/me with that token</t>
  </si>
  <si>
    <t>Returns 200 with the profile of the Garden Owner account</t>
  </si>
  <si>
    <t>A Garden Owner account exists and is active</t>
  </si>
  <si>
    <t>AUTH-TOKEN-06</t>
  </si>
  <si>
    <t>[Abnormal] The current user endpoint refuses a request without a token</t>
  </si>
  <si>
    <t>Send GET /api/Auth/me with no Authorization header</t>
  </si>
  <si>
    <t>AUTH-REG-01</t>
  </si>
  <si>
    <t>[Normal] Complete the three-step registration with a new email</t>
  </si>
  <si>
    <t>Send POST /api/Auth/register/initiate with an unused email, read the OTP, send POST /api/Auth/register/verify, then POST /api/Auth/register/finalize with the registration token and a password</t>
  </si>
  <si>
    <t>Returns 201 with an access token, and the new account signs in immediately with that password</t>
  </si>
  <si>
    <t>AUTH-REG-02</t>
  </si>
  <si>
    <t>[Abnormal] Register with an email that already has an account</t>
  </si>
  <si>
    <t>Send POST /api/Auth/register/initiate with the email of an existing Customer account</t>
  </si>
  <si>
    <t>Returns 409 and no OTP is issued</t>
  </si>
  <si>
    <t>A Customer account exists with that email</t>
  </si>
  <si>
    <t>AUTH-REG-03</t>
  </si>
  <si>
    <t>[Abnormal] The registration token can only be used once</t>
  </si>
  <si>
    <t>Complete the first two registration steps, then send POST /api/Auth/register/finalize twice with the same registration token</t>
  </si>
  <si>
    <t>The first call returns 201, the second returns 401</t>
  </si>
  <si>
    <t>AUTH-REG-04</t>
  </si>
  <si>
    <t>[Abnormal] Too many wrong OTP attempts lock the code</t>
  </si>
  <si>
    <t>Request a registration OTP, then send POST /api/Auth/register/verify six times with a wrong OTP</t>
  </si>
  <si>
    <t>Returns 400 with a message stating the code was tried too many times</t>
  </si>
  <si>
    <t>A registration OTP has just been issued</t>
  </si>
  <si>
    <t>AUTH-FP-01</t>
  </si>
  <si>
    <t>[Normal] Send a password-reset OTP to a registered email</t>
  </si>
  <si>
    <t>Send POST /api/Auth/forgot-password/initiate with the email of the Customer account</t>
  </si>
  <si>
    <t>Returns 200 and an OTP is sent to that mailbox</t>
  </si>
  <si>
    <t>AUTH-FP-02</t>
  </si>
  <si>
    <t>[Abnormal] Send a password-reset OTP to an unregistered email</t>
  </si>
  <si>
    <t>Send POST /api/Auth/forgot-password/initiate with an email that was never registered</t>
  </si>
  <si>
    <t>Returns 404, a deliberate decision that favours a clear user experience over resisting email enumeration</t>
  </si>
  <si>
    <t>AUTH-FP-03</t>
  </si>
  <si>
    <t>[Abnormal] Request an OTP with a malformed email</t>
  </si>
  <si>
    <t>Send POST /api/Auth/forgot-password/initiate with a string that is not an email</t>
  </si>
  <si>
    <t>Returns 400 with an invalid-email message</t>
  </si>
  <si>
    <t>AUTH-FP-04</t>
  </si>
  <si>
    <t>[Boundary] Request an OTP with an empty email</t>
  </si>
  <si>
    <t>Send POST /api/Auth/forgot-password/initiate with an empty email string</t>
  </si>
  <si>
    <t>Returns 400 without raising a server error</t>
  </si>
  <si>
    <t>AUTH-FP-05</t>
  </si>
  <si>
    <t>[Abnormal] Verify a wrong OTP</t>
  </si>
  <si>
    <t>Send POST /api/Auth/forgot-password/verify with an incorrect OTP</t>
  </si>
  <si>
    <t>Returns 400 and issues no resetPasswordToken</t>
  </si>
  <si>
    <t>AUTH-FP-06</t>
  </si>
  <si>
    <t>[Abnormal] Reset the password with an invalid token</t>
  </si>
  <si>
    <t>Send POST /api/Auth/forgot-password/reset with a made-up resetPasswordToken</t>
  </si>
  <si>
    <t>Returns 401 with an invalid-session message</t>
  </si>
  <si>
    <t>No password-reset session is open</t>
  </si>
  <si>
    <t>AUTH-FP-07</t>
  </si>
  <si>
    <t>[Boundary] Reset the password with a 5-character password, one below the minimum of 6</t>
  </si>
  <si>
    <t>Send POST /api/Auth/forgot-password/reset with a 5-character newPassword</t>
  </si>
  <si>
    <t>Returns 400 stating the 6-character minimum; the check runs before the token is consumed</t>
  </si>
  <si>
    <t>AUTH-FP-08</t>
  </si>
  <si>
    <t>[Boundary] Reset the password with an empty password</t>
  </si>
  <si>
    <t>Send POST /api/Auth/forgot-password/reset with an empty newPassword</t>
  </si>
  <si>
    <t>Returns 400 stating the password must not be empty</t>
  </si>
  <si>
    <t>AUTH-FP-09</t>
  </si>
  <si>
    <t>[Normal] The full forgot-password flow revokes every existing session</t>
  </si>
  <si>
    <t>Register an account and sign in to obtain a refresh token, then run the three forgot-password steps and set a new password</t>
  </si>
  <si>
    <t>Returns 200; the old password no longer signs in, the new one does, and the refresh token issued before the change is refused with 401</t>
  </si>
  <si>
    <t>An account exists and has an active session</t>
  </si>
  <si>
    <t>AUTH-FP-10</t>
  </si>
  <si>
    <t>[Abnormal] The reset-password token can only be used once</t>
  </si>
  <si>
    <t>Run the forgot-password steps to obtain a resetPasswordToken, then call POST /api/Auth/forgot-password/reset twice with it</t>
  </si>
  <si>
    <t>The first call returns 200, the second returns 401</t>
  </si>
  <si>
    <t>An account exists</t>
  </si>
  <si>
    <t>AUTH-FP-11</t>
  </si>
  <si>
    <t>[Abnormal] A new password identical to the current one is rejected</t>
  </si>
  <si>
    <t>Run the forgot-password steps, then reset the password to the value the account already uses</t>
  </si>
  <si>
    <t>Returns 400 with a message stating the new password repeats the current one</t>
  </si>
  <si>
    <t>AUTH-EMAIL-01</t>
  </si>
  <si>
    <t>[Normal] Complete the four-step email change</t>
  </si>
  <si>
    <t>Signed in, call POST /api/Auth/me/email/initiate, verify the OTP sent to the current address, request the new address, then confirm the OTP sent to it</t>
  </si>
  <si>
    <t>Returns 200 at every step; the account then signs in with the new email and no longer with the old one</t>
  </si>
  <si>
    <t>Signed in as an account whose current email can be read</t>
  </si>
  <si>
    <t>AUTH-EMAIL-02</t>
  </si>
  <si>
    <t>[Abnormal] Skipping the current-email verification is blocked</t>
  </si>
  <si>
    <t>Signed in, call POST /api/Auth/me/email/request-new with an invented changeEmailToken</t>
  </si>
  <si>
    <t>Returns 401 and the email is not changed</t>
  </si>
  <si>
    <t>Signed in as a Customer</t>
  </si>
  <si>
    <t>SALES-CART-01</t>
  </si>
  <si>
    <t>[Normal] Add a product to the cart and read the cart back</t>
  </si>
  <si>
    <t>Add two units of a product variant, then read GET /api/cart</t>
  </si>
  <si>
    <t>The cart holds one line with quantity two and the subtotal equals price times two</t>
  </si>
  <si>
    <t>A store with a product variant in stock exists</t>
  </si>
  <si>
    <t>SALES-CART-02</t>
  </si>
  <si>
    <t>[Abnormal] Adding to the cart with quantity zero is rejected</t>
  </si>
  <si>
    <t>Send POST /api/cart/items with quantity zero</t>
  </si>
  <si>
    <t>Returns 400 and nothing is added</t>
  </si>
  <si>
    <t>A store with a product variant exists</t>
  </si>
  <si>
    <t>SALES-CART-03</t>
  </si>
  <si>
    <t>[Abnormal] Adding more units than the available stock is rejected</t>
  </si>
  <si>
    <t>Send POST /api/cart/items with a quantity above the stock of the variant</t>
  </si>
  <si>
    <t>Returns 400 with a message about the remaining stock</t>
  </si>
  <si>
    <t>The variant has a known stock level</t>
  </si>
  <si>
    <t>SALES-CART-04</t>
  </si>
  <si>
    <t>[Abnormal] Adding an unknown product variant returns not found</t>
  </si>
  <si>
    <t>Send POST /api/cart/items with an identifier that does not exist</t>
  </si>
  <si>
    <t>Returns 404</t>
  </si>
  <si>
    <t>SALES-ORDER-01</t>
  </si>
  <si>
    <t>[Normal] A cart spanning two stores splits into two deliveries</t>
  </si>
  <si>
    <t>Add one product of store A and one of store B, then check out with cash on delivery</t>
  </si>
  <si>
    <t>The order is created with two deliveries, one per store, each with its own subtotal</t>
  </si>
  <si>
    <t>Two stores each with a product variant in stock, and a default shipping address</t>
  </si>
  <si>
    <t>SALES-ORDER-02</t>
  </si>
  <si>
    <t>[Normal] A cart from a single store creates one delivery</t>
  </si>
  <si>
    <t>Add one product of a single store, then check out</t>
  </si>
  <si>
    <t>The order is created with exactly one delivery</t>
  </si>
  <si>
    <t>One store with a product variant in stock</t>
  </si>
  <si>
    <t>SALES-ORDER-03</t>
  </si>
  <si>
    <t>[Abnormal] Checking out an empty cart is rejected</t>
  </si>
  <si>
    <t>Empty the cart, then send POST /api/orders</t>
  </si>
  <si>
    <t>Returns 400 and no order is created</t>
  </si>
  <si>
    <t>The cart is empty</t>
  </si>
  <si>
    <t>SALES-ORDER-04</t>
  </si>
  <si>
    <t>[Abnormal] Checkout with an unknown shipping address is rejected</t>
  </si>
  <si>
    <t>Add a product, then check out with a shipping address identifier that does not exist</t>
  </si>
  <si>
    <t>The cart holds at least one line</t>
  </si>
  <si>
    <t>SALES-ORDER-05</t>
  </si>
  <si>
    <t>[Normal] Ordered items are removed from the cart after checkout</t>
  </si>
  <si>
    <t>Add a product, check out, then read GET /api/cart</t>
  </si>
  <si>
    <t>The cart holds exactly the products being ordered</t>
  </si>
  <si>
    <t>SALES-ORDER-06</t>
  </si>
  <si>
    <t>[Normal] A placed order appears in the customer order history</t>
  </si>
  <si>
    <t>Place an order, then read GET /api/orders and GET /api/orders/{id}</t>
  </si>
  <si>
    <t>The order appears in the list and its detail can be opened</t>
  </si>
  <si>
    <t>The customer has placed at least one order</t>
  </si>
  <si>
    <t>SALES-ORDER-07</t>
  </si>
  <si>
    <t>[Abnormal] An order is not visible to another customer</t>
  </si>
  <si>
    <t>Place an order as customer A, register customer B, then read the order as customer B</t>
  </si>
  <si>
    <t>Returns 404 for customer B</t>
  </si>
  <si>
    <t>Two separate customer accounts exist</t>
  </si>
  <si>
    <t>SALES-PAY-01</t>
  </si>
  <si>
    <t>[Normal] Create a payment link for an online order</t>
  </si>
  <si>
    <t>Place an order with the online payment method, then send POST /api/payments/{orderId}</t>
  </si>
  <si>
    <t>Returns a checkout link for the order</t>
  </si>
  <si>
    <t>An order awaiting online payment exists</t>
  </si>
  <si>
    <t>SALES-PAY-02</t>
  </si>
  <si>
    <t>[Abnormal] A cash on delivery order cannot create an online payment link</t>
  </si>
  <si>
    <t>Place a cash on delivery order, then send POST /api/payments/{orderId}</t>
  </si>
  <si>
    <t>Returns 400 with a message that a cash order is paid on delivery</t>
  </si>
  <si>
    <t>A cash on delivery order exists</t>
  </si>
  <si>
    <t>SALES-PAY-03</t>
  </si>
  <si>
    <t>[Abnormal] Creating a payment link for an unknown order returns not found</t>
  </si>
  <si>
    <t>Send POST /api/payments/{orderId} with an identifier that does not exist</t>
  </si>
  <si>
    <t>SALES-PAY-04</t>
  </si>
  <si>
    <t>[Abnormal] The payment webhook survives a malformed payload</t>
  </si>
  <si>
    <t>Send POST /api/payments/payos/webhook with a body that does not match the expected shape</t>
  </si>
  <si>
    <t>Answers with a client error, never with a server error</t>
  </si>
  <si>
    <t>SALES-CANCEL-01</t>
  </si>
  <si>
    <t>[Normal] Cancel an order while it is still pending</t>
  </si>
  <si>
    <t>Place an order, then send POST /api/orders/{id}/cancel</t>
  </si>
  <si>
    <t>The order moves to the cancelled state</t>
  </si>
  <si>
    <t>An order in the pending state exists</t>
  </si>
  <si>
    <t>SALES-CANCEL-02</t>
  </si>
  <si>
    <t>[Abnormal] Cancelling the same order twice is rejected</t>
  </si>
  <si>
    <t>Cancel an order, then cancel it again</t>
  </si>
  <si>
    <t>The second call is refused</t>
  </si>
  <si>
    <t>An order that has already been cancelled</t>
  </si>
  <si>
    <t>SALES-DELIVERY-01</t>
  </si>
  <si>
    <t>[Normal] A store owner can list the deliveries of their own store</t>
  </si>
  <si>
    <t>Place an order against the store, then read GET /api/orders/stores/{storeId}/deliveries as the owner</t>
  </si>
  <si>
    <t>Returns 200 with the deliveries of that store</t>
  </si>
  <si>
    <t>The store has at least one delivery</t>
  </si>
  <si>
    <t>SALES-DELIVERY-02</t>
  </si>
  <si>
    <t>[Abnormal] A customer cannot list the deliveries of a store</t>
  </si>
  <si>
    <t>Read GET /api/orders/stores/{storeId}/deliveries with a customer token</t>
  </si>
  <si>
    <t>Returns 403 or 401</t>
  </si>
  <si>
    <t>A store exists</t>
  </si>
  <si>
    <t>RMA-01</t>
  </si>
  <si>
    <t>[Normal] A customer opens a return request on a delivered order</t>
  </si>
  <si>
    <t>Drive an order to the delivered state, then send POST /api/returns with evidence images</t>
  </si>
  <si>
    <t>The request is created in the Requested state</t>
  </si>
  <si>
    <t>An order whose delivery reached the delivered state</t>
  </si>
  <si>
    <t>RMA-02</t>
  </si>
  <si>
    <t>[Abnormal] A return request without evidence images is rejected</t>
  </si>
  <si>
    <t>Send POST /api/returns with an empty list of image URLs</t>
  </si>
  <si>
    <t>Returns 400 with a message that evidence is required</t>
  </si>
  <si>
    <t>RMA-03</t>
  </si>
  <si>
    <t>[Abnormal] A return request on a delivery that was never delivered is rejected</t>
  </si>
  <si>
    <t>Place an order and, without advancing the delivery, send POST /api/returns</t>
  </si>
  <si>
    <t>Returns 400</t>
  </si>
  <si>
    <t>An order whose delivery is still pending</t>
  </si>
  <si>
    <t>RMA-04</t>
  </si>
  <si>
    <t>[Abnormal] Returning more units than were delivered is rejected</t>
  </si>
  <si>
    <t>Send POST /api/returns with a quantity above the delivered quantity</t>
  </si>
  <si>
    <t>A delivered order of a known quantity</t>
  </si>
  <si>
    <t>RMA-05</t>
  </si>
  <si>
    <t>[Boundary] Returning zero units is rejected</t>
  </si>
  <si>
    <t>Send POST /api/returns with quantity zero</t>
  </si>
  <si>
    <t>A delivered order</t>
  </si>
  <si>
    <t>RMA-06</t>
  </si>
  <si>
    <t>[Normal] A customer cancels their own request while it is still pending</t>
  </si>
  <si>
    <t>Open a request, then send POST /api/returns/{id}/cancel</t>
  </si>
  <si>
    <t>The request moves to the cancelled state</t>
  </si>
  <si>
    <t>A request in the Requested state</t>
  </si>
  <si>
    <t>RMA-07</t>
  </si>
  <si>
    <t>[Abnormal] Cancelling the same request twice is rejected</t>
  </si>
  <si>
    <t>Cancel a request, then cancel it again</t>
  </si>
  <si>
    <t>The second call is refused with 400 or 409</t>
  </si>
  <si>
    <t>A request that has already been cancelled</t>
  </si>
  <si>
    <t>RMA-08</t>
  </si>
  <si>
    <t>[Normal] Platform staff accepts the request for review</t>
  </si>
  <si>
    <t>Send POST /api/returns/{id}/accept with a staff token</t>
  </si>
  <si>
    <t>The request leaves the Requested state</t>
  </si>
  <si>
    <t>RMA-09</t>
  </si>
  <si>
    <t>[Normal] Platform staff rejects the request with a reason</t>
  </si>
  <si>
    <t>Accept the request, then send POST /api/returns/{id}/reject with a reason</t>
  </si>
  <si>
    <t>The request moves to the rejected state</t>
  </si>
  <si>
    <t>A request that staff has accepted</t>
  </si>
  <si>
    <t>RMA-10</t>
  </si>
  <si>
    <t>[Abnormal] Rejecting without a reason is refused</t>
  </si>
  <si>
    <t>Send POST /api/returns/{id}/reject with an empty reason</t>
  </si>
  <si>
    <t>RMA-11</t>
  </si>
  <si>
    <t>[Normal] A dead plant refund reaches the refunding stage without recalling the goods</t>
  </si>
  <si>
    <t>Accept a PlantHealth request, then send POST /api/returns/{id}/approve-refund</t>
  </si>
  <si>
    <t>The request reaches Refunding or Completed and never passes through the physical return states</t>
  </si>
  <si>
    <t>A PlantHealth request that staff has accepted</t>
  </si>
  <si>
    <t>RMA-12</t>
  </si>
  <si>
    <t>[Abnormal] A customer cannot accept their own return request</t>
  </si>
  <si>
    <t>Send POST /api/returns/{id}/accept with the customer token</t>
  </si>
  <si>
    <t>Returns 403</t>
  </si>
  <si>
    <t>A request opened by that customer</t>
  </si>
  <si>
    <t>RMA-13</t>
  </si>
  <si>
    <t>[Abnormal] A store owner cannot decide the outcome of a return request</t>
  </si>
  <si>
    <t>Send POST /api/returns/{id}/approve-refund with the garden owner token</t>
  </si>
  <si>
    <t>A request against that store</t>
  </si>
  <si>
    <t>RMA-14</t>
  </si>
  <si>
    <t>[Normal] The customer can see their own request in the list</t>
  </si>
  <si>
    <t>Read GET /api/returns/mine</t>
  </si>
  <si>
    <t>The request appears in the list</t>
  </si>
  <si>
    <t>RMA-15</t>
  </si>
  <si>
    <t>[Normal] Platform staff can list the pending return requests</t>
  </si>
  <si>
    <t>Read GET /api/returns/pending with a staff token</t>
  </si>
  <si>
    <t>Returns 200 with the queue of pending requests</t>
  </si>
  <si>
    <t>At least one request is waiting</t>
  </si>
  <si>
    <t>API-AUTHZ-01</t>
  </si>
  <si>
    <t>[Normal] The routing table is discovered and is not empty</t>
  </si>
  <si>
    <t>Read the action descriptors of the running application</t>
  </si>
  <si>
    <t>242 endpoints are discovered</t>
  </si>
  <si>
    <t>The application is running</t>
  </si>
  <si>
    <t>API-AUTHZ-02</t>
  </si>
  <si>
    <t>[Normal] Every protected endpoint refuses a request without a token, normal data</t>
  </si>
  <si>
    <t>Call all 210 protected endpoints with no Authorization header, using well formed route values</t>
  </si>
  <si>
    <t>Every one answers 401</t>
  </si>
  <si>
    <t>API-AUTHZ-03</t>
  </si>
  <si>
    <t>[Boundary] Every protected endpoint refuses a request without a token, boundary data</t>
  </si>
  <si>
    <t>Repeat the sweep with boundary route values such as an all zero identifier</t>
  </si>
  <si>
    <t>Every one still answers 401, so authorization does not depend on the payload</t>
  </si>
  <si>
    <t>API-AUTHZ-04</t>
  </si>
  <si>
    <t>[Normal] Every policy protected endpoint refuses a disallowed role, normal data</t>
  </si>
  <si>
    <t>Call all 66 policy protected endpoints with a role the policy does not allow</t>
  </si>
  <si>
    <t>Every one answers 403</t>
  </si>
  <si>
    <t>A token exists for each of the five roles</t>
  </si>
  <si>
    <t>API-AUTHZ-05</t>
  </si>
  <si>
    <t>[Boundary] Every policy protected endpoint refuses a disallowed role, boundary data</t>
  </si>
  <si>
    <t>Repeat the sweep with boundary route values</t>
  </si>
  <si>
    <t>Every one still answers 403</t>
  </si>
  <si>
    <t>API-AUTHZ-06</t>
  </si>
  <si>
    <t>[Normal] No public endpoint is refused, normal data</t>
  </si>
  <si>
    <t>Call all 26 public endpoints with no token</t>
  </si>
  <si>
    <t>None answers 401 or 403</t>
  </si>
  <si>
    <t>API-AUTHZ-07</t>
  </si>
  <si>
    <t>[Boundary] No public endpoint is refused, boundary data</t>
  </si>
  <si>
    <t>API-SMOKE-01</t>
  </si>
  <si>
    <t>[Normal] No parameterless read endpoint answers with a server error</t>
  </si>
  <si>
    <t>Call all 47 GET endpoints that take no route parameter with an administrator token</t>
  </si>
  <si>
    <t>None answers with a 5xx status</t>
  </si>
  <si>
    <t>The database has been migrated and seeded</t>
  </si>
  <si>
    <t>API-SMOKE-02</t>
  </si>
  <si>
    <t>[Normal] The API documentation is generated</t>
  </si>
  <si>
    <t>Read the OpenAPI document of the application</t>
  </si>
  <si>
    <t>The document is produced, so no route is duplicated</t>
  </si>
  <si>
    <t>API-ROBUST-01</t>
  </si>
  <si>
    <t>[Normal] Normal data never causes a server error</t>
  </si>
  <si>
    <t>Call all 242 endpoints with well formed data</t>
  </si>
  <si>
    <t>No endpoint answers with a 5xx status</t>
  </si>
  <si>
    <t>API-ROBUST-02</t>
  </si>
  <si>
    <t>[Boundary] Boundary data never causes a server error</t>
  </si>
  <si>
    <t>Call all 242 endpoints with boundary values such as an all zero identifier and empty fields</t>
  </si>
  <si>
    <t>API-ROBUST-03</t>
  </si>
  <si>
    <t>[Abnormal] Malformed data never causes a server error</t>
  </si>
  <si>
    <t>Call all 242 endpoints with invalid identifiers, invalid JSON, negative quantities and SQL syntax</t>
  </si>
  <si>
    <t>Every endpoint answers with a client error, none with a 5xx status</t>
  </si>
  <si>
    <t>ENV-GUARD-01</t>
  </si>
  <si>
    <t>[Normal] A connection string pointing at localhost is accepted</t>
  </si>
  <si>
    <t>Start the suite with Host=localhost</t>
  </si>
  <si>
    <t>The suite runs</t>
  </si>
  <si>
    <t>ENV-GUARD-02</t>
  </si>
  <si>
    <t>[Normal] A connection string pointing at 127.0.0.1 is accepted</t>
  </si>
  <si>
    <t>Start the suite with Host=127.0.0.1</t>
  </si>
  <si>
    <t>ENV-GUARD-03</t>
  </si>
  <si>
    <t>[Normal] A connection string using the container host name is accepted</t>
  </si>
  <si>
    <t>Start the suite with Server=postgres, as used on the CI runner</t>
  </si>
  <si>
    <t>ENV-GUARD-04</t>
  </si>
  <si>
    <t>[Abnormal] A production database connection is refused</t>
  </si>
  <si>
    <t>Start the suite with a connection string pointing at the Supabase production host</t>
  </si>
  <si>
    <t>The suite stops before touching the database</t>
  </si>
  <si>
    <t>ENV-GUARD-05</t>
  </si>
  <si>
    <t>[Abnormal] Any other remote host is refused</t>
  </si>
  <si>
    <t>Start the suite with a connection string pointing at an arbitrary remote host</t>
  </si>
  <si>
    <t>ENV-GUARD-06</t>
  </si>
  <si>
    <t>[Abnormal] A missing connection string stops the suite with guidance</t>
  </si>
  <si>
    <t>Start the suite with the setting absent</t>
  </si>
  <si>
    <t>The suite stops and prints the two supported ways to configure it</t>
  </si>
  <si>
    <t>ENV-GUARD-07</t>
  </si>
  <si>
    <t>[Boundary] An empty connection string is refused</t>
  </si>
  <si>
    <t>Start the suite with an empty setting</t>
  </si>
  <si>
    <t>The suite stops with the same guidance</t>
  </si>
  <si>
    <t>ENV-GUARD-08</t>
  </si>
  <si>
    <t>[Boundary] A whitespace only connection string is refused</t>
  </si>
  <si>
    <t>Start the suite with a setting containing only spaces</t>
  </si>
  <si>
    <t>ENV-GUARD-09</t>
  </si>
  <si>
    <t>[Abnormal] A connection string with no host segment is refused</t>
  </si>
  <si>
    <t>Start the suite with a connection string that declares no 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</si>
</sst>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1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2" fillId="0" borderId="0"/>
    <xf numFmtId="0" fontId="17" fillId="0" borderId="0"/>
    <xf numFmtId="0" fontId="17" fillId="0" borderId="0"/>
    <xf numFmtId="0" fontId="1" fillId="0" borderId="0"/>
    <xf numFmtId="0" fontId="19" fillId="0" borderId="0"/>
  </cellStyleXfs>
  <cellXfs count="150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/>
    <xf numFmtId="0" fontId="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10" fillId="5" borderId="13" xfId="3" applyFont="1" applyFill="1" applyBorder="1" applyAlignment="1">
      <alignment horizontal="left" vertical="center"/>
    </xf>
    <xf numFmtId="0" fontId="10" fillId="5" borderId="14" xfId="3" applyFont="1" applyFill="1" applyBorder="1" applyAlignment="1">
      <alignment horizontal="left" vertical="center"/>
    </xf>
    <xf numFmtId="0" fontId="10" fillId="5" borderId="2" xfId="3" applyFont="1" applyFill="1" applyBorder="1" applyAlignment="1">
      <alignment horizontal="left" vertical="center"/>
    </xf>
    <xf numFmtId="0" fontId="9" fillId="2" borderId="0" xfId="3" applyFont="1" applyFill="1" applyAlignment="1">
      <alignment horizontal="left" vertical="center"/>
    </xf>
    <xf numFmtId="0" fontId="2" fillId="2" borderId="1" xfId="3" applyFont="1" applyFill="1" applyBorder="1" applyAlignment="1">
      <alignment vertical="top" wrapText="1"/>
    </xf>
    <xf numFmtId="0" fontId="6" fillId="2" borderId="1" xfId="3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3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/>
    </xf>
    <xf numFmtId="0" fontId="1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top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16" fillId="2" borderId="0" xfId="0" applyNumberFormat="1" applyFont="1" applyFill="1" applyAlignment="1">
      <alignment horizontal="right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5" borderId="23" xfId="3" applyFont="1" applyFill="1" applyBorder="1" applyAlignment="1">
      <alignment horizontal="left" vertical="center"/>
    </xf>
    <xf numFmtId="0" fontId="10" fillId="5" borderId="24" xfId="3" applyFont="1" applyFill="1" applyBorder="1" applyAlignment="1">
      <alignment horizontal="left" vertical="center"/>
    </xf>
    <xf numFmtId="0" fontId="10" fillId="5" borderId="25" xfId="3" applyFont="1" applyFill="1" applyBorder="1" applyAlignment="1">
      <alignment horizontal="left" vertical="center"/>
    </xf>
    <xf numFmtId="0" fontId="6" fillId="2" borderId="0" xfId="3" applyFont="1" applyFill="1" applyAlignment="1">
      <alignment wrapText="1"/>
    </xf>
    <xf numFmtId="0" fontId="7" fillId="6" borderId="26" xfId="3" applyFont="1" applyFill="1" applyBorder="1" applyAlignment="1">
      <alignment horizontal="center" vertical="center" wrapText="1"/>
    </xf>
    <xf numFmtId="0" fontId="18" fillId="2" borderId="26" xfId="3" applyFont="1" applyFill="1" applyBorder="1" applyAlignment="1">
      <alignment horizontal="center" vertical="top" wrapText="1"/>
    </xf>
    <xf numFmtId="0" fontId="2" fillId="2" borderId="26" xfId="3" applyFont="1" applyFill="1" applyBorder="1" applyAlignment="1">
      <alignment horizontal="center" vertical="top" wrapText="1"/>
    </xf>
    <xf numFmtId="0" fontId="18" fillId="2" borderId="29" xfId="3" applyFont="1" applyFill="1" applyBorder="1" applyAlignment="1">
      <alignment horizontal="center" vertical="top" wrapText="1"/>
    </xf>
    <xf numFmtId="0" fontId="18" fillId="2" borderId="30" xfId="3" applyFont="1" applyFill="1" applyBorder="1" applyAlignment="1">
      <alignment horizontal="center" vertical="top" wrapText="1"/>
    </xf>
    <xf numFmtId="0" fontId="18" fillId="2" borderId="31" xfId="3" applyFont="1" applyFill="1" applyBorder="1" applyAlignment="1">
      <alignment horizontal="center" vertical="top" wrapText="1"/>
    </xf>
    <xf numFmtId="0" fontId="2" fillId="2" borderId="32" xfId="3" applyFont="1" applyFill="1" applyBorder="1" applyAlignment="1">
      <alignment horizontal="center" vertical="top" wrapText="1"/>
    </xf>
    <xf numFmtId="0" fontId="2" fillId="2" borderId="33" xfId="3" applyFont="1" applyFill="1" applyBorder="1" applyAlignment="1">
      <alignment horizontal="center" vertical="top" wrapText="1"/>
    </xf>
    <xf numFmtId="0" fontId="2" fillId="2" borderId="30" xfId="3" applyFont="1" applyFill="1" applyBorder="1" applyAlignment="1">
      <alignment horizontal="center" vertical="top" wrapText="1"/>
    </xf>
    <xf numFmtId="0" fontId="10" fillId="2" borderId="27" xfId="3" applyFont="1" applyFill="1" applyBorder="1" applyAlignment="1">
      <alignment horizontal="center" vertical="top" wrapText="1"/>
    </xf>
    <xf numFmtId="0" fontId="10" fillId="2" borderId="29" xfId="3" applyFont="1" applyFill="1" applyBorder="1" applyAlignment="1">
      <alignment horizontal="center" vertical="top" wrapText="1"/>
    </xf>
    <xf numFmtId="0" fontId="12" fillId="2" borderId="7" xfId="1" applyFill="1" applyBorder="1" applyAlignment="1">
      <alignment horizontal="left" vertical="center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20" fillId="0" borderId="2" xfId="5" applyFont="1" applyBorder="1"/>
    <xf numFmtId="0" fontId="10" fillId="2" borderId="1" xfId="5" applyFont="1" applyFill="1" applyBorder="1" applyAlignment="1">
      <alignment vertical="center"/>
    </xf>
    <xf numFmtId="0" fontId="20" fillId="0" borderId="2" xfId="5" applyFont="1" applyBorder="1" applyAlignment="1">
      <alignment horizontal="left" indent="1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0" fontId="20" fillId="0" borderId="6" xfId="5" applyFont="1" applyBorder="1" applyAlignment="1">
      <alignment vertical="top" wrapText="1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0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0" fontId="4" fillId="0" borderId="1" xfId="5" applyFont="1" applyBorder="1" applyAlignment="1">
      <alignment horizontal="center" vertical="center"/>
    </xf>
    <xf numFmtId="0" fontId="0" fillId="0" borderId="14" xfId="0" applyBorder="1"/>
    <xf numFmtId="0" fontId="0" fillId="0" borderId="2" xfId="0" applyBorder="1"/>
    <xf numFmtId="0" fontId="20" fillId="0" borderId="1" xfId="5" applyFont="1" applyBorder="1" applyAlignment="1">
      <alignment horizontal="left" vertical="center"/>
    </xf>
    <xf numFmtId="0" fontId="20" fillId="0" borderId="1" xfId="5" applyFont="1" applyBorder="1" applyAlignment="1">
      <alignment horizontal="left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/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Alignment="1">
      <alignment horizontal="center"/>
    </xf>
    <xf numFmtId="0" fontId="2" fillId="2" borderId="0" xfId="0" applyFont="1" applyFill="1"/>
    <xf numFmtId="0" fontId="2" fillId="2" borderId="26" xfId="3" applyFont="1" applyFill="1" applyBorder="1" applyAlignment="1">
      <alignment horizontal="left" vertical="top" wrapText="1"/>
    </xf>
    <xf numFmtId="0" fontId="0" fillId="0" borderId="36" xfId="0" applyBorder="1"/>
    <xf numFmtId="0" fontId="0" fillId="0" borderId="37" xfId="0" applyBorder="1"/>
    <xf numFmtId="0" fontId="2" fillId="2" borderId="28" xfId="3" applyFont="1" applyFill="1" applyBorder="1" applyAlignment="1">
      <alignment horizontal="left" vertical="top" wrapText="1"/>
    </xf>
    <xf numFmtId="0" fontId="0" fillId="0" borderId="34" xfId="0" applyBorder="1"/>
    <xf numFmtId="0" fontId="0" fillId="0" borderId="35" xfId="0" applyBorder="1"/>
    <xf numFmtId="0" fontId="2" fillId="2" borderId="0" xfId="0" applyFont="1" applyFill="1" applyAlignment="1">
      <alignment horizontal="left" vertical="top" wrapText="1"/>
    </xf>
    <xf numFmtId="0" fontId="14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vertical="top"/>
    </xf>
  </cellXfs>
  <cellStyles count="6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00000000-0005-0000-0000-000005000000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7"/>
  <sheetViews>
    <sheetView showGridLines="0" workbookViewId="0">
      <selection activeCell="B3" sqref="B3"/>
    </sheetView>
  </sheetViews>
  <sheetFormatPr defaultColWidth="9" defaultRowHeight="13.2"/>
  <cols>
    <col min="1" max="1" width="28.109375" style="126" customWidth="1"/>
    <col min="2" max="2" width="10" style="99" customWidth="1"/>
    <col min="3" max="3" width="14.33203125" style="99" customWidth="1"/>
    <col min="4" max="4" width="8" style="99" customWidth="1"/>
    <col min="5" max="5" width="38" style="99" customWidth="1"/>
    <col min="6" max="6" width="48.109375" style="99" customWidth="1"/>
    <col min="7" max="256" width="9" style="99" customWidth="1"/>
    <col min="257" max="257" width="28.109375" style="99" customWidth="1"/>
    <col min="258" max="258" width="10" style="99" customWidth="1"/>
    <col min="259" max="259" width="14.33203125" style="99" customWidth="1"/>
    <col min="260" max="260" width="8" style="99" customWidth="1"/>
    <col min="261" max="261" width="38" style="99" customWidth="1"/>
    <col min="262" max="262" width="48.109375" style="99" customWidth="1"/>
    <col min="263" max="512" width="9" style="99" customWidth="1"/>
    <col min="513" max="513" width="28.109375" style="99" customWidth="1"/>
    <col min="514" max="514" width="10" style="99" customWidth="1"/>
    <col min="515" max="515" width="14.33203125" style="99" customWidth="1"/>
    <col min="516" max="516" width="8" style="99" customWidth="1"/>
    <col min="517" max="517" width="38" style="99" customWidth="1"/>
    <col min="518" max="518" width="48.109375" style="99" customWidth="1"/>
    <col min="519" max="768" width="9" style="99" customWidth="1"/>
    <col min="769" max="769" width="28.109375" style="99" customWidth="1"/>
    <col min="770" max="770" width="10" style="99" customWidth="1"/>
    <col min="771" max="771" width="14.33203125" style="99" customWidth="1"/>
    <col min="772" max="772" width="8" style="99" customWidth="1"/>
    <col min="773" max="773" width="38" style="99" customWidth="1"/>
    <col min="774" max="774" width="48.109375" style="99" customWidth="1"/>
    <col min="775" max="1024" width="9" style="99" customWidth="1"/>
    <col min="1025" max="1025" width="28.109375" style="99" customWidth="1"/>
    <col min="1026" max="1026" width="10" style="99" customWidth="1"/>
    <col min="1027" max="1027" width="14.33203125" style="99" customWidth="1"/>
    <col min="1028" max="1028" width="8" style="99" customWidth="1"/>
    <col min="1029" max="1029" width="38" style="99" customWidth="1"/>
    <col min="1030" max="1030" width="48.109375" style="99" customWidth="1"/>
    <col min="1031" max="1280" width="9" style="99" customWidth="1"/>
    <col min="1281" max="1281" width="28.109375" style="99" customWidth="1"/>
    <col min="1282" max="1282" width="10" style="99" customWidth="1"/>
    <col min="1283" max="1283" width="14.33203125" style="99" customWidth="1"/>
    <col min="1284" max="1284" width="8" style="99" customWidth="1"/>
    <col min="1285" max="1285" width="38" style="99" customWidth="1"/>
    <col min="1286" max="1286" width="48.109375" style="99" customWidth="1"/>
    <col min="1287" max="1536" width="9" style="99" customWidth="1"/>
    <col min="1537" max="1537" width="28.109375" style="99" customWidth="1"/>
    <col min="1538" max="1538" width="10" style="99" customWidth="1"/>
    <col min="1539" max="1539" width="14.33203125" style="99" customWidth="1"/>
    <col min="1540" max="1540" width="8" style="99" customWidth="1"/>
    <col min="1541" max="1541" width="38" style="99" customWidth="1"/>
    <col min="1542" max="1542" width="48.109375" style="99" customWidth="1"/>
    <col min="1543" max="1792" width="9" style="99" customWidth="1"/>
    <col min="1793" max="1793" width="28.109375" style="99" customWidth="1"/>
    <col min="1794" max="1794" width="10" style="99" customWidth="1"/>
    <col min="1795" max="1795" width="14.33203125" style="99" customWidth="1"/>
    <col min="1796" max="1796" width="8" style="99" customWidth="1"/>
    <col min="1797" max="1797" width="38" style="99" customWidth="1"/>
    <col min="1798" max="1798" width="48.109375" style="99" customWidth="1"/>
    <col min="1799" max="2048" width="9" style="99" customWidth="1"/>
    <col min="2049" max="2049" width="28.109375" style="99" customWidth="1"/>
    <col min="2050" max="2050" width="10" style="99" customWidth="1"/>
    <col min="2051" max="2051" width="14.33203125" style="99" customWidth="1"/>
    <col min="2052" max="2052" width="8" style="99" customWidth="1"/>
    <col min="2053" max="2053" width="38" style="99" customWidth="1"/>
    <col min="2054" max="2054" width="48.109375" style="99" customWidth="1"/>
    <col min="2055" max="2304" width="9" style="99" customWidth="1"/>
    <col min="2305" max="2305" width="28.109375" style="99" customWidth="1"/>
    <col min="2306" max="2306" width="10" style="99" customWidth="1"/>
    <col min="2307" max="2307" width="14.33203125" style="99" customWidth="1"/>
    <col min="2308" max="2308" width="8" style="99" customWidth="1"/>
    <col min="2309" max="2309" width="38" style="99" customWidth="1"/>
    <col min="2310" max="2310" width="48.109375" style="99" customWidth="1"/>
    <col min="2311" max="2560" width="9" style="99" customWidth="1"/>
    <col min="2561" max="2561" width="28.109375" style="99" customWidth="1"/>
    <col min="2562" max="2562" width="10" style="99" customWidth="1"/>
    <col min="2563" max="2563" width="14.33203125" style="99" customWidth="1"/>
    <col min="2564" max="2564" width="8" style="99" customWidth="1"/>
    <col min="2565" max="2565" width="38" style="99" customWidth="1"/>
    <col min="2566" max="2566" width="48.109375" style="99" customWidth="1"/>
    <col min="2567" max="2816" width="9" style="99" customWidth="1"/>
    <col min="2817" max="2817" width="28.109375" style="99" customWidth="1"/>
    <col min="2818" max="2818" width="10" style="99" customWidth="1"/>
    <col min="2819" max="2819" width="14.33203125" style="99" customWidth="1"/>
    <col min="2820" max="2820" width="8" style="99" customWidth="1"/>
    <col min="2821" max="2821" width="38" style="99" customWidth="1"/>
    <col min="2822" max="2822" width="48.109375" style="99" customWidth="1"/>
    <col min="2823" max="3072" width="9" style="99" customWidth="1"/>
    <col min="3073" max="3073" width="28.109375" style="99" customWidth="1"/>
    <col min="3074" max="3074" width="10" style="99" customWidth="1"/>
    <col min="3075" max="3075" width="14.33203125" style="99" customWidth="1"/>
    <col min="3076" max="3076" width="8" style="99" customWidth="1"/>
    <col min="3077" max="3077" width="38" style="99" customWidth="1"/>
    <col min="3078" max="3078" width="48.109375" style="99" customWidth="1"/>
    <col min="3079" max="3328" width="9" style="99" customWidth="1"/>
    <col min="3329" max="3329" width="28.109375" style="99" customWidth="1"/>
    <col min="3330" max="3330" width="10" style="99" customWidth="1"/>
    <col min="3331" max="3331" width="14.33203125" style="99" customWidth="1"/>
    <col min="3332" max="3332" width="8" style="99" customWidth="1"/>
    <col min="3333" max="3333" width="38" style="99" customWidth="1"/>
    <col min="3334" max="3334" width="48.109375" style="99" customWidth="1"/>
    <col min="3335" max="3584" width="9" style="99" customWidth="1"/>
    <col min="3585" max="3585" width="28.109375" style="99" customWidth="1"/>
    <col min="3586" max="3586" width="10" style="99" customWidth="1"/>
    <col min="3587" max="3587" width="14.33203125" style="99" customWidth="1"/>
    <col min="3588" max="3588" width="8" style="99" customWidth="1"/>
    <col min="3589" max="3589" width="38" style="99" customWidth="1"/>
    <col min="3590" max="3590" width="48.109375" style="99" customWidth="1"/>
    <col min="3591" max="3840" width="9" style="99" customWidth="1"/>
    <col min="3841" max="3841" width="28.109375" style="99" customWidth="1"/>
    <col min="3842" max="3842" width="10" style="99" customWidth="1"/>
    <col min="3843" max="3843" width="14.33203125" style="99" customWidth="1"/>
    <col min="3844" max="3844" width="8" style="99" customWidth="1"/>
    <col min="3845" max="3845" width="38" style="99" customWidth="1"/>
    <col min="3846" max="3846" width="48.109375" style="99" customWidth="1"/>
    <col min="3847" max="4096" width="9" style="99" customWidth="1"/>
    <col min="4097" max="4097" width="28.109375" style="99" customWidth="1"/>
    <col min="4098" max="4098" width="10" style="99" customWidth="1"/>
    <col min="4099" max="4099" width="14.33203125" style="99" customWidth="1"/>
    <col min="4100" max="4100" width="8" style="99" customWidth="1"/>
    <col min="4101" max="4101" width="38" style="99" customWidth="1"/>
    <col min="4102" max="4102" width="48.109375" style="99" customWidth="1"/>
    <col min="4103" max="4352" width="9" style="99" customWidth="1"/>
    <col min="4353" max="4353" width="28.109375" style="99" customWidth="1"/>
    <col min="4354" max="4354" width="10" style="99" customWidth="1"/>
    <col min="4355" max="4355" width="14.33203125" style="99" customWidth="1"/>
    <col min="4356" max="4356" width="8" style="99" customWidth="1"/>
    <col min="4357" max="4357" width="38" style="99" customWidth="1"/>
    <col min="4358" max="4358" width="48.109375" style="99" customWidth="1"/>
    <col min="4359" max="4608" width="9" style="99" customWidth="1"/>
    <col min="4609" max="4609" width="28.109375" style="99" customWidth="1"/>
    <col min="4610" max="4610" width="10" style="99" customWidth="1"/>
    <col min="4611" max="4611" width="14.33203125" style="99" customWidth="1"/>
    <col min="4612" max="4612" width="8" style="99" customWidth="1"/>
    <col min="4613" max="4613" width="38" style="99" customWidth="1"/>
    <col min="4614" max="4614" width="48.109375" style="99" customWidth="1"/>
    <col min="4615" max="4864" width="9" style="99" customWidth="1"/>
    <col min="4865" max="4865" width="28.109375" style="99" customWidth="1"/>
    <col min="4866" max="4866" width="10" style="99" customWidth="1"/>
    <col min="4867" max="4867" width="14.33203125" style="99" customWidth="1"/>
    <col min="4868" max="4868" width="8" style="99" customWidth="1"/>
    <col min="4869" max="4869" width="38" style="99" customWidth="1"/>
    <col min="4870" max="4870" width="48.109375" style="99" customWidth="1"/>
    <col min="4871" max="5120" width="9" style="99" customWidth="1"/>
    <col min="5121" max="5121" width="28.109375" style="99" customWidth="1"/>
    <col min="5122" max="5122" width="10" style="99" customWidth="1"/>
    <col min="5123" max="5123" width="14.33203125" style="99" customWidth="1"/>
    <col min="5124" max="5124" width="8" style="99" customWidth="1"/>
    <col min="5125" max="5125" width="38" style="99" customWidth="1"/>
    <col min="5126" max="5126" width="48.109375" style="99" customWidth="1"/>
    <col min="5127" max="5376" width="9" style="99" customWidth="1"/>
    <col min="5377" max="5377" width="28.109375" style="99" customWidth="1"/>
    <col min="5378" max="5378" width="10" style="99" customWidth="1"/>
    <col min="5379" max="5379" width="14.33203125" style="99" customWidth="1"/>
    <col min="5380" max="5380" width="8" style="99" customWidth="1"/>
    <col min="5381" max="5381" width="38" style="99" customWidth="1"/>
    <col min="5382" max="5382" width="48.109375" style="99" customWidth="1"/>
    <col min="5383" max="5632" width="9" style="99" customWidth="1"/>
    <col min="5633" max="5633" width="28.109375" style="99" customWidth="1"/>
    <col min="5634" max="5634" width="10" style="99" customWidth="1"/>
    <col min="5635" max="5635" width="14.33203125" style="99" customWidth="1"/>
    <col min="5636" max="5636" width="8" style="99" customWidth="1"/>
    <col min="5637" max="5637" width="38" style="99" customWidth="1"/>
    <col min="5638" max="5638" width="48.109375" style="99" customWidth="1"/>
    <col min="5639" max="5888" width="9" style="99" customWidth="1"/>
    <col min="5889" max="5889" width="28.109375" style="99" customWidth="1"/>
    <col min="5890" max="5890" width="10" style="99" customWidth="1"/>
    <col min="5891" max="5891" width="14.33203125" style="99" customWidth="1"/>
    <col min="5892" max="5892" width="8" style="99" customWidth="1"/>
    <col min="5893" max="5893" width="38" style="99" customWidth="1"/>
    <col min="5894" max="5894" width="48.109375" style="99" customWidth="1"/>
    <col min="5895" max="6144" width="9" style="99" customWidth="1"/>
    <col min="6145" max="6145" width="28.109375" style="99" customWidth="1"/>
    <col min="6146" max="6146" width="10" style="99" customWidth="1"/>
    <col min="6147" max="6147" width="14.33203125" style="99" customWidth="1"/>
    <col min="6148" max="6148" width="8" style="99" customWidth="1"/>
    <col min="6149" max="6149" width="38" style="99" customWidth="1"/>
    <col min="6150" max="6150" width="48.109375" style="99" customWidth="1"/>
    <col min="6151" max="6400" width="9" style="99" customWidth="1"/>
    <col min="6401" max="6401" width="28.109375" style="99" customWidth="1"/>
    <col min="6402" max="6402" width="10" style="99" customWidth="1"/>
    <col min="6403" max="6403" width="14.33203125" style="99" customWidth="1"/>
    <col min="6404" max="6404" width="8" style="99" customWidth="1"/>
    <col min="6405" max="6405" width="38" style="99" customWidth="1"/>
    <col min="6406" max="6406" width="48.109375" style="99" customWidth="1"/>
    <col min="6407" max="6656" width="9" style="99" customWidth="1"/>
    <col min="6657" max="6657" width="28.109375" style="99" customWidth="1"/>
    <col min="6658" max="6658" width="10" style="99" customWidth="1"/>
    <col min="6659" max="6659" width="14.33203125" style="99" customWidth="1"/>
    <col min="6660" max="6660" width="8" style="99" customWidth="1"/>
    <col min="6661" max="6661" width="38" style="99" customWidth="1"/>
    <col min="6662" max="6662" width="48.109375" style="99" customWidth="1"/>
    <col min="6663" max="6912" width="9" style="99" customWidth="1"/>
    <col min="6913" max="6913" width="28.109375" style="99" customWidth="1"/>
    <col min="6914" max="6914" width="10" style="99" customWidth="1"/>
    <col min="6915" max="6915" width="14.33203125" style="99" customWidth="1"/>
    <col min="6916" max="6916" width="8" style="99" customWidth="1"/>
    <col min="6917" max="6917" width="38" style="99" customWidth="1"/>
    <col min="6918" max="6918" width="48.109375" style="99" customWidth="1"/>
    <col min="6919" max="7168" width="9" style="99" customWidth="1"/>
    <col min="7169" max="7169" width="28.109375" style="99" customWidth="1"/>
    <col min="7170" max="7170" width="10" style="99" customWidth="1"/>
    <col min="7171" max="7171" width="14.33203125" style="99" customWidth="1"/>
    <col min="7172" max="7172" width="8" style="99" customWidth="1"/>
    <col min="7173" max="7173" width="38" style="99" customWidth="1"/>
    <col min="7174" max="7174" width="48.109375" style="99" customWidth="1"/>
    <col min="7175" max="7424" width="9" style="99" customWidth="1"/>
    <col min="7425" max="7425" width="28.109375" style="99" customWidth="1"/>
    <col min="7426" max="7426" width="10" style="99" customWidth="1"/>
    <col min="7427" max="7427" width="14.33203125" style="99" customWidth="1"/>
    <col min="7428" max="7428" width="8" style="99" customWidth="1"/>
    <col min="7429" max="7429" width="38" style="99" customWidth="1"/>
    <col min="7430" max="7430" width="48.109375" style="99" customWidth="1"/>
    <col min="7431" max="7680" width="9" style="99" customWidth="1"/>
    <col min="7681" max="7681" width="28.109375" style="99" customWidth="1"/>
    <col min="7682" max="7682" width="10" style="99" customWidth="1"/>
    <col min="7683" max="7683" width="14.33203125" style="99" customWidth="1"/>
    <col min="7684" max="7684" width="8" style="99" customWidth="1"/>
    <col min="7685" max="7685" width="38" style="99" customWidth="1"/>
    <col min="7686" max="7686" width="48.109375" style="99" customWidth="1"/>
    <col min="7687" max="7936" width="9" style="99" customWidth="1"/>
    <col min="7937" max="7937" width="28.109375" style="99" customWidth="1"/>
    <col min="7938" max="7938" width="10" style="99" customWidth="1"/>
    <col min="7939" max="7939" width="14.33203125" style="99" customWidth="1"/>
    <col min="7940" max="7940" width="8" style="99" customWidth="1"/>
    <col min="7941" max="7941" width="38" style="99" customWidth="1"/>
    <col min="7942" max="7942" width="48.109375" style="99" customWidth="1"/>
    <col min="7943" max="8192" width="9" style="99" customWidth="1"/>
    <col min="8193" max="8193" width="28.109375" style="99" customWidth="1"/>
    <col min="8194" max="8194" width="10" style="99" customWidth="1"/>
    <col min="8195" max="8195" width="14.33203125" style="99" customWidth="1"/>
    <col min="8196" max="8196" width="8" style="99" customWidth="1"/>
    <col min="8197" max="8197" width="38" style="99" customWidth="1"/>
    <col min="8198" max="8198" width="48.109375" style="99" customWidth="1"/>
    <col min="8199" max="8448" width="9" style="99" customWidth="1"/>
    <col min="8449" max="8449" width="28.109375" style="99" customWidth="1"/>
    <col min="8450" max="8450" width="10" style="99" customWidth="1"/>
    <col min="8451" max="8451" width="14.33203125" style="99" customWidth="1"/>
    <col min="8452" max="8452" width="8" style="99" customWidth="1"/>
    <col min="8453" max="8453" width="38" style="99" customWidth="1"/>
    <col min="8454" max="8454" width="48.109375" style="99" customWidth="1"/>
    <col min="8455" max="8704" width="9" style="99" customWidth="1"/>
    <col min="8705" max="8705" width="28.109375" style="99" customWidth="1"/>
    <col min="8706" max="8706" width="10" style="99" customWidth="1"/>
    <col min="8707" max="8707" width="14.33203125" style="99" customWidth="1"/>
    <col min="8708" max="8708" width="8" style="99" customWidth="1"/>
    <col min="8709" max="8709" width="38" style="99" customWidth="1"/>
    <col min="8710" max="8710" width="48.109375" style="99" customWidth="1"/>
    <col min="8711" max="8960" width="9" style="99" customWidth="1"/>
    <col min="8961" max="8961" width="28.109375" style="99" customWidth="1"/>
    <col min="8962" max="8962" width="10" style="99" customWidth="1"/>
    <col min="8963" max="8963" width="14.33203125" style="99" customWidth="1"/>
    <col min="8964" max="8964" width="8" style="99" customWidth="1"/>
    <col min="8965" max="8965" width="38" style="99" customWidth="1"/>
    <col min="8966" max="8966" width="48.109375" style="99" customWidth="1"/>
    <col min="8967" max="9216" width="9" style="99" customWidth="1"/>
    <col min="9217" max="9217" width="28.109375" style="99" customWidth="1"/>
    <col min="9218" max="9218" width="10" style="99" customWidth="1"/>
    <col min="9219" max="9219" width="14.33203125" style="99" customWidth="1"/>
    <col min="9220" max="9220" width="8" style="99" customWidth="1"/>
    <col min="9221" max="9221" width="38" style="99" customWidth="1"/>
    <col min="9222" max="9222" width="48.109375" style="99" customWidth="1"/>
    <col min="9223" max="9472" width="9" style="99" customWidth="1"/>
    <col min="9473" max="9473" width="28.109375" style="99" customWidth="1"/>
    <col min="9474" max="9474" width="10" style="99" customWidth="1"/>
    <col min="9475" max="9475" width="14.33203125" style="99" customWidth="1"/>
    <col min="9476" max="9476" width="8" style="99" customWidth="1"/>
    <col min="9477" max="9477" width="38" style="99" customWidth="1"/>
    <col min="9478" max="9478" width="48.109375" style="99" customWidth="1"/>
    <col min="9479" max="9728" width="9" style="99" customWidth="1"/>
    <col min="9729" max="9729" width="28.109375" style="99" customWidth="1"/>
    <col min="9730" max="9730" width="10" style="99" customWidth="1"/>
    <col min="9731" max="9731" width="14.33203125" style="99" customWidth="1"/>
    <col min="9732" max="9732" width="8" style="99" customWidth="1"/>
    <col min="9733" max="9733" width="38" style="99" customWidth="1"/>
    <col min="9734" max="9734" width="48.109375" style="99" customWidth="1"/>
    <col min="9735" max="9984" width="9" style="99" customWidth="1"/>
    <col min="9985" max="9985" width="28.109375" style="99" customWidth="1"/>
    <col min="9986" max="9986" width="10" style="99" customWidth="1"/>
    <col min="9987" max="9987" width="14.33203125" style="99" customWidth="1"/>
    <col min="9988" max="9988" width="8" style="99" customWidth="1"/>
    <col min="9989" max="9989" width="38" style="99" customWidth="1"/>
    <col min="9990" max="9990" width="48.109375" style="99" customWidth="1"/>
    <col min="9991" max="10240" width="9" style="99" customWidth="1"/>
    <col min="10241" max="10241" width="28.109375" style="99" customWidth="1"/>
    <col min="10242" max="10242" width="10" style="99" customWidth="1"/>
    <col min="10243" max="10243" width="14.33203125" style="99" customWidth="1"/>
    <col min="10244" max="10244" width="8" style="99" customWidth="1"/>
    <col min="10245" max="10245" width="38" style="99" customWidth="1"/>
    <col min="10246" max="10246" width="48.109375" style="99" customWidth="1"/>
    <col min="10247" max="10496" width="9" style="99" customWidth="1"/>
    <col min="10497" max="10497" width="28.109375" style="99" customWidth="1"/>
    <col min="10498" max="10498" width="10" style="99" customWidth="1"/>
    <col min="10499" max="10499" width="14.33203125" style="99" customWidth="1"/>
    <col min="10500" max="10500" width="8" style="99" customWidth="1"/>
    <col min="10501" max="10501" width="38" style="99" customWidth="1"/>
    <col min="10502" max="10502" width="48.109375" style="99" customWidth="1"/>
    <col min="10503" max="10752" width="9" style="99" customWidth="1"/>
    <col min="10753" max="10753" width="28.109375" style="99" customWidth="1"/>
    <col min="10754" max="10754" width="10" style="99" customWidth="1"/>
    <col min="10755" max="10755" width="14.33203125" style="99" customWidth="1"/>
    <col min="10756" max="10756" width="8" style="99" customWidth="1"/>
    <col min="10757" max="10757" width="38" style="99" customWidth="1"/>
    <col min="10758" max="10758" width="48.109375" style="99" customWidth="1"/>
    <col min="10759" max="11008" width="9" style="99" customWidth="1"/>
    <col min="11009" max="11009" width="28.109375" style="99" customWidth="1"/>
    <col min="11010" max="11010" width="10" style="99" customWidth="1"/>
    <col min="11011" max="11011" width="14.33203125" style="99" customWidth="1"/>
    <col min="11012" max="11012" width="8" style="99" customWidth="1"/>
    <col min="11013" max="11013" width="38" style="99" customWidth="1"/>
    <col min="11014" max="11014" width="48.109375" style="99" customWidth="1"/>
    <col min="11015" max="11264" width="9" style="99" customWidth="1"/>
    <col min="11265" max="11265" width="28.109375" style="99" customWidth="1"/>
    <col min="11266" max="11266" width="10" style="99" customWidth="1"/>
    <col min="11267" max="11267" width="14.33203125" style="99" customWidth="1"/>
    <col min="11268" max="11268" width="8" style="99" customWidth="1"/>
    <col min="11269" max="11269" width="38" style="99" customWidth="1"/>
    <col min="11270" max="11270" width="48.109375" style="99" customWidth="1"/>
    <col min="11271" max="11520" width="9" style="99" customWidth="1"/>
    <col min="11521" max="11521" width="28.109375" style="99" customWidth="1"/>
    <col min="11522" max="11522" width="10" style="99" customWidth="1"/>
    <col min="11523" max="11523" width="14.33203125" style="99" customWidth="1"/>
    <col min="11524" max="11524" width="8" style="99" customWidth="1"/>
    <col min="11525" max="11525" width="38" style="99" customWidth="1"/>
    <col min="11526" max="11526" width="48.109375" style="99" customWidth="1"/>
    <col min="11527" max="11776" width="9" style="99" customWidth="1"/>
    <col min="11777" max="11777" width="28.109375" style="99" customWidth="1"/>
    <col min="11778" max="11778" width="10" style="99" customWidth="1"/>
    <col min="11779" max="11779" width="14.33203125" style="99" customWidth="1"/>
    <col min="11780" max="11780" width="8" style="99" customWidth="1"/>
    <col min="11781" max="11781" width="38" style="99" customWidth="1"/>
    <col min="11782" max="11782" width="48.109375" style="99" customWidth="1"/>
    <col min="11783" max="12032" width="9" style="99" customWidth="1"/>
    <col min="12033" max="12033" width="28.109375" style="99" customWidth="1"/>
    <col min="12034" max="12034" width="10" style="99" customWidth="1"/>
    <col min="12035" max="12035" width="14.33203125" style="99" customWidth="1"/>
    <col min="12036" max="12036" width="8" style="99" customWidth="1"/>
    <col min="12037" max="12037" width="38" style="99" customWidth="1"/>
    <col min="12038" max="12038" width="48.109375" style="99" customWidth="1"/>
    <col min="12039" max="12288" width="9" style="99" customWidth="1"/>
    <col min="12289" max="12289" width="28.109375" style="99" customWidth="1"/>
    <col min="12290" max="12290" width="10" style="99" customWidth="1"/>
    <col min="12291" max="12291" width="14.33203125" style="99" customWidth="1"/>
    <col min="12292" max="12292" width="8" style="99" customWidth="1"/>
    <col min="12293" max="12293" width="38" style="99" customWidth="1"/>
    <col min="12294" max="12294" width="48.109375" style="99" customWidth="1"/>
    <col min="12295" max="12544" width="9" style="99" customWidth="1"/>
    <col min="12545" max="12545" width="28.109375" style="99" customWidth="1"/>
    <col min="12546" max="12546" width="10" style="99" customWidth="1"/>
    <col min="12547" max="12547" width="14.33203125" style="99" customWidth="1"/>
    <col min="12548" max="12548" width="8" style="99" customWidth="1"/>
    <col min="12549" max="12549" width="38" style="99" customWidth="1"/>
    <col min="12550" max="12550" width="48.109375" style="99" customWidth="1"/>
    <col min="12551" max="12800" width="9" style="99" customWidth="1"/>
    <col min="12801" max="12801" width="28.109375" style="99" customWidth="1"/>
    <col min="12802" max="12802" width="10" style="99" customWidth="1"/>
    <col min="12803" max="12803" width="14.33203125" style="99" customWidth="1"/>
    <col min="12804" max="12804" width="8" style="99" customWidth="1"/>
    <col min="12805" max="12805" width="38" style="99" customWidth="1"/>
    <col min="12806" max="12806" width="48.109375" style="99" customWidth="1"/>
    <col min="12807" max="13056" width="9" style="99" customWidth="1"/>
    <col min="13057" max="13057" width="28.109375" style="99" customWidth="1"/>
    <col min="13058" max="13058" width="10" style="99" customWidth="1"/>
    <col min="13059" max="13059" width="14.33203125" style="99" customWidth="1"/>
    <col min="13060" max="13060" width="8" style="99" customWidth="1"/>
    <col min="13061" max="13061" width="38" style="99" customWidth="1"/>
    <col min="13062" max="13062" width="48.109375" style="99" customWidth="1"/>
    <col min="13063" max="13312" width="9" style="99" customWidth="1"/>
    <col min="13313" max="13313" width="28.109375" style="99" customWidth="1"/>
    <col min="13314" max="13314" width="10" style="99" customWidth="1"/>
    <col min="13315" max="13315" width="14.33203125" style="99" customWidth="1"/>
    <col min="13316" max="13316" width="8" style="99" customWidth="1"/>
    <col min="13317" max="13317" width="38" style="99" customWidth="1"/>
    <col min="13318" max="13318" width="48.109375" style="99" customWidth="1"/>
    <col min="13319" max="13568" width="9" style="99" customWidth="1"/>
    <col min="13569" max="13569" width="28.109375" style="99" customWidth="1"/>
    <col min="13570" max="13570" width="10" style="99" customWidth="1"/>
    <col min="13571" max="13571" width="14.33203125" style="99" customWidth="1"/>
    <col min="13572" max="13572" width="8" style="99" customWidth="1"/>
    <col min="13573" max="13573" width="38" style="99" customWidth="1"/>
    <col min="13574" max="13574" width="48.109375" style="99" customWidth="1"/>
    <col min="13575" max="13824" width="9" style="99" customWidth="1"/>
    <col min="13825" max="13825" width="28.109375" style="99" customWidth="1"/>
    <col min="13826" max="13826" width="10" style="99" customWidth="1"/>
    <col min="13827" max="13827" width="14.33203125" style="99" customWidth="1"/>
    <col min="13828" max="13828" width="8" style="99" customWidth="1"/>
    <col min="13829" max="13829" width="38" style="99" customWidth="1"/>
    <col min="13830" max="13830" width="48.109375" style="99" customWidth="1"/>
    <col min="13831" max="14080" width="9" style="99" customWidth="1"/>
    <col min="14081" max="14081" width="28.109375" style="99" customWidth="1"/>
    <col min="14082" max="14082" width="10" style="99" customWidth="1"/>
    <col min="14083" max="14083" width="14.33203125" style="99" customWidth="1"/>
    <col min="14084" max="14084" width="8" style="99" customWidth="1"/>
    <col min="14085" max="14085" width="38" style="99" customWidth="1"/>
    <col min="14086" max="14086" width="48.109375" style="99" customWidth="1"/>
    <col min="14087" max="14336" width="9" style="99" customWidth="1"/>
    <col min="14337" max="14337" width="28.109375" style="99" customWidth="1"/>
    <col min="14338" max="14338" width="10" style="99" customWidth="1"/>
    <col min="14339" max="14339" width="14.33203125" style="99" customWidth="1"/>
    <col min="14340" max="14340" width="8" style="99" customWidth="1"/>
    <col min="14341" max="14341" width="38" style="99" customWidth="1"/>
    <col min="14342" max="14342" width="48.109375" style="99" customWidth="1"/>
    <col min="14343" max="14592" width="9" style="99" customWidth="1"/>
    <col min="14593" max="14593" width="28.109375" style="99" customWidth="1"/>
    <col min="14594" max="14594" width="10" style="99" customWidth="1"/>
    <col min="14595" max="14595" width="14.33203125" style="99" customWidth="1"/>
    <col min="14596" max="14596" width="8" style="99" customWidth="1"/>
    <col min="14597" max="14597" width="38" style="99" customWidth="1"/>
    <col min="14598" max="14598" width="48.109375" style="99" customWidth="1"/>
    <col min="14599" max="14848" width="9" style="99" customWidth="1"/>
    <col min="14849" max="14849" width="28.109375" style="99" customWidth="1"/>
    <col min="14850" max="14850" width="10" style="99" customWidth="1"/>
    <col min="14851" max="14851" width="14.33203125" style="99" customWidth="1"/>
    <col min="14852" max="14852" width="8" style="99" customWidth="1"/>
    <col min="14853" max="14853" width="38" style="99" customWidth="1"/>
    <col min="14854" max="14854" width="48.109375" style="99" customWidth="1"/>
    <col min="14855" max="15104" width="9" style="99" customWidth="1"/>
    <col min="15105" max="15105" width="28.109375" style="99" customWidth="1"/>
    <col min="15106" max="15106" width="10" style="99" customWidth="1"/>
    <col min="15107" max="15107" width="14.33203125" style="99" customWidth="1"/>
    <col min="15108" max="15108" width="8" style="99" customWidth="1"/>
    <col min="15109" max="15109" width="38" style="99" customWidth="1"/>
    <col min="15110" max="15110" width="48.109375" style="99" customWidth="1"/>
    <col min="15111" max="15360" width="9" style="99" customWidth="1"/>
    <col min="15361" max="15361" width="28.109375" style="99" customWidth="1"/>
    <col min="15362" max="15362" width="10" style="99" customWidth="1"/>
    <col min="15363" max="15363" width="14.33203125" style="99" customWidth="1"/>
    <col min="15364" max="15364" width="8" style="99" customWidth="1"/>
    <col min="15365" max="15365" width="38" style="99" customWidth="1"/>
    <col min="15366" max="15366" width="48.109375" style="99" customWidth="1"/>
    <col min="15367" max="15616" width="9" style="99" customWidth="1"/>
    <col min="15617" max="15617" width="28.109375" style="99" customWidth="1"/>
    <col min="15618" max="15618" width="10" style="99" customWidth="1"/>
    <col min="15619" max="15619" width="14.33203125" style="99" customWidth="1"/>
    <col min="15620" max="15620" width="8" style="99" customWidth="1"/>
    <col min="15621" max="15621" width="38" style="99" customWidth="1"/>
    <col min="15622" max="15622" width="48.109375" style="99" customWidth="1"/>
    <col min="15623" max="15872" width="9" style="99" customWidth="1"/>
    <col min="15873" max="15873" width="28.109375" style="99" customWidth="1"/>
    <col min="15874" max="15874" width="10" style="99" customWidth="1"/>
    <col min="15875" max="15875" width="14.33203125" style="99" customWidth="1"/>
    <col min="15876" max="15876" width="8" style="99" customWidth="1"/>
    <col min="15877" max="15877" width="38" style="99" customWidth="1"/>
    <col min="15878" max="15878" width="48.109375" style="99" customWidth="1"/>
    <col min="15879" max="16128" width="9" style="99" customWidth="1"/>
    <col min="16129" max="16129" width="28.109375" style="99" customWidth="1"/>
    <col min="16130" max="16130" width="10" style="99" customWidth="1"/>
    <col min="16131" max="16131" width="14.33203125" style="99" customWidth="1"/>
    <col min="16132" max="16132" width="8" style="99" customWidth="1"/>
    <col min="16133" max="16133" width="38" style="99" customWidth="1"/>
    <col min="16134" max="16134" width="48.109375" style="99" customWidth="1"/>
    <col min="16135" max="16384" width="9" style="99" customWidth="1"/>
  </cols>
  <sheetData>
    <row r="2" spans="1:6" s="96" customFormat="1" ht="75.75" customHeight="1">
      <c r="A2" s="95"/>
      <c r="B2" s="127" t="s">
        <v>0</v>
      </c>
      <c r="C2" s="128"/>
      <c r="D2" s="128"/>
      <c r="E2" s="128"/>
      <c r="F2" s="129"/>
    </row>
    <row r="3" spans="1:6">
      <c r="A3" s="97"/>
      <c r="B3" s="98"/>
      <c r="C3" s="99" t="s">
        <v>1</v>
      </c>
      <c r="E3" s="100"/>
      <c r="F3" s="99" t="s">
        <v>2</v>
      </c>
    </row>
    <row r="4" spans="1:6" ht="14.25" customHeight="1">
      <c r="A4" s="101" t="s">
        <v>3</v>
      </c>
      <c r="B4" s="131" t="s">
        <v>4</v>
      </c>
      <c r="C4" s="128"/>
      <c r="D4" s="129"/>
      <c r="E4" s="101" t="s">
        <v>5</v>
      </c>
      <c r="F4" s="102">
        <v>1</v>
      </c>
    </row>
    <row r="5" spans="1:6" ht="14.25" customHeight="1">
      <c r="A5" s="101" t="s">
        <v>6</v>
      </c>
      <c r="B5" s="131" t="s">
        <v>1</v>
      </c>
      <c r="C5" s="128"/>
      <c r="D5" s="129"/>
      <c r="E5" s="101" t="s">
        <v>7</v>
      </c>
      <c r="F5" s="103" t="s">
        <v>2</v>
      </c>
    </row>
    <row r="6" spans="1:6" ht="15.75" customHeight="1">
      <c r="A6" s="104" t="s">
        <v>8</v>
      </c>
      <c r="B6" s="130" t="str">
        <f>B5&amp;"_"&amp;"XXX"&amp;"_"&amp;"vx.x"</f>
        <v>SU26SE093_XXX_vx.x</v>
      </c>
      <c r="C6" s="128"/>
      <c r="D6" s="129"/>
      <c r="E6" s="101" t="s">
        <v>9</v>
      </c>
      <c r="F6" s="105"/>
    </row>
    <row r="7" spans="1:6">
      <c r="A7" s="106" t="s">
        <v>2</v>
      </c>
      <c r="B7" s="107">
        <v>1</v>
      </c>
      <c r="C7" s="99" t="s">
        <v>10</v>
      </c>
      <c r="D7" s="99" t="s">
        <v>11</v>
      </c>
      <c r="E7" s="108" t="s">
        <v>12</v>
      </c>
      <c r="F7" s="98" t="s">
        <v>13</v>
      </c>
    </row>
    <row r="8" spans="1:6">
      <c r="A8" s="99"/>
    </row>
    <row r="9" spans="1:6">
      <c r="A9" s="109" t="s">
        <v>14</v>
      </c>
    </row>
    <row r="10" spans="1:6" s="113" customFormat="1">
      <c r="A10" s="110" t="s">
        <v>15</v>
      </c>
      <c r="B10" s="111" t="s">
        <v>9</v>
      </c>
      <c r="C10" s="111" t="s">
        <v>16</v>
      </c>
      <c r="D10" s="111" t="s">
        <v>17</v>
      </c>
      <c r="E10" s="111" t="s">
        <v>18</v>
      </c>
      <c r="F10" s="112" t="s">
        <v>19</v>
      </c>
    </row>
    <row r="11" spans="1:6" s="119" customFormat="1" ht="26.25" customHeight="1">
      <c r="A11" s="114" t="s">
        <v>2</v>
      </c>
      <c r="B11" s="115">
        <v>2</v>
      </c>
      <c r="C11" s="116" t="s">
        <v>20</v>
      </c>
      <c r="D11" s="116" t="s">
        <v>11</v>
      </c>
      <c r="E11" s="117" t="s">
        <v>21</v>
      </c>
      <c r="F11" s="118" t="s">
        <v>13</v>
      </c>
    </row>
    <row r="12" spans="1:6" s="119" customFormat="1" ht="21.75" customHeight="1">
      <c r="A12" s="120"/>
      <c r="B12" s="115"/>
      <c r="C12" s="116"/>
      <c r="D12" s="116"/>
      <c r="E12" s="116"/>
      <c r="F12" s="121"/>
    </row>
    <row r="13" spans="1:6" s="119" customFormat="1" ht="19.5" customHeight="1">
      <c r="A13" s="120"/>
      <c r="B13" s="115"/>
      <c r="C13" s="116"/>
      <c r="D13" s="116"/>
      <c r="E13" s="116"/>
      <c r="F13" s="121"/>
    </row>
    <row r="14" spans="1:6" s="119" customFormat="1" ht="21.75" customHeight="1">
      <c r="A14" s="120"/>
      <c r="B14" s="115"/>
      <c r="C14" s="116"/>
      <c r="D14" s="116"/>
      <c r="E14" s="116"/>
      <c r="F14" s="121"/>
    </row>
    <row r="15" spans="1:6" s="119" customFormat="1" ht="19.5" customHeight="1">
      <c r="A15" s="120"/>
      <c r="B15" s="115"/>
      <c r="C15" s="116"/>
      <c r="D15" s="116"/>
      <c r="E15" s="116"/>
      <c r="F15" s="121"/>
    </row>
    <row r="16" spans="1:6" s="119" customFormat="1" ht="21.75" customHeight="1">
      <c r="A16" s="120"/>
      <c r="B16" s="115"/>
      <c r="C16" s="116"/>
      <c r="D16" s="116"/>
      <c r="E16" s="116"/>
      <c r="F16" s="121"/>
    </row>
    <row r="17" spans="1:6" s="119" customFormat="1" ht="19.5" customHeight="1">
      <c r="A17" s="122"/>
      <c r="B17" s="123"/>
      <c r="C17" s="124"/>
      <c r="D17" s="124"/>
      <c r="E17" s="124"/>
      <c r="F17" s="125"/>
    </row>
  </sheetData>
  <mergeCells count="4">
    <mergeCell ref="B2:F2"/>
    <mergeCell ref="B6:D6"/>
    <mergeCell ref="B5:D5"/>
    <mergeCell ref="B4:D4"/>
  </mergeCells>
  <pageMargins left="0.47013888888888888" right="0.47013888888888888" top="0.5" bottom="0.35138888888888892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 Internal use&amp;R&amp;"tahomaTahoma,Regular"&amp;8 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workbookViewId="0">
      <selection activeCell="D13" sqref="D13"/>
    </sheetView>
  </sheetViews>
  <sheetFormatPr defaultColWidth="9" defaultRowHeight="13.2"/>
  <cols>
    <col min="1" max="1" width="1.33203125" style="1" customWidth="1"/>
    <col min="2" max="2" width="11.77734375" style="3" customWidth="1"/>
    <col min="3" max="3" width="26.44140625" style="4" customWidth="1"/>
    <col min="4" max="4" width="17.109375" style="4" customWidth="1"/>
    <col min="5" max="5" width="28.109375" style="4" customWidth="1"/>
    <col min="6" max="6" width="30.6640625" style="4" customWidth="1"/>
    <col min="7" max="7" width="9" style="1" customWidth="1"/>
    <col min="8" max="16384" width="9" style="1"/>
  </cols>
  <sheetData>
    <row r="1" spans="2:6" ht="24.6" customHeight="1">
      <c r="B1" s="5"/>
      <c r="D1" s="6" t="s">
        <v>22</v>
      </c>
      <c r="E1" s="7"/>
    </row>
    <row r="2" spans="2:6" ht="13.5" customHeight="1">
      <c r="B2" s="5"/>
      <c r="D2" s="8"/>
      <c r="E2" s="8"/>
    </row>
    <row r="3" spans="2:6" ht="13.8">
      <c r="B3" s="133" t="s">
        <v>3</v>
      </c>
      <c r="C3" s="128"/>
      <c r="D3" s="135" t="e">
        <f>#REF!</f>
        <v>#REF!</v>
      </c>
      <c r="E3" s="128"/>
      <c r="F3" s="129"/>
    </row>
    <row r="4" spans="2:6" ht="13.8">
      <c r="B4" s="133" t="s">
        <v>6</v>
      </c>
      <c r="C4" s="128"/>
      <c r="D4" s="135" t="s">
        <v>23</v>
      </c>
      <c r="E4" s="128"/>
      <c r="F4" s="129"/>
    </row>
    <row r="5" spans="2:6" s="9" customFormat="1" ht="84.75" customHeight="1">
      <c r="B5" s="134" t="s">
        <v>24</v>
      </c>
      <c r="C5" s="129"/>
      <c r="D5" s="132" t="s">
        <v>25</v>
      </c>
      <c r="E5" s="128"/>
      <c r="F5" s="129"/>
    </row>
    <row r="6" spans="2:6">
      <c r="B6" s="10">
        <v>1</v>
      </c>
      <c r="C6" s="1" t="s">
        <v>26</v>
      </c>
      <c r="D6" s="1" t="s">
        <v>26</v>
      </c>
      <c r="E6" s="1" t="s">
        <v>27</v>
      </c>
      <c r="F6" s="1" t="s">
        <v>28</v>
      </c>
    </row>
    <row r="7" spans="2:6" s="11" customFormat="1">
      <c r="B7" s="12">
        <v>2</v>
      </c>
      <c r="C7" s="13" t="s">
        <v>29</v>
      </c>
      <c r="D7" s="13" t="s">
        <v>29</v>
      </c>
      <c r="E7" s="13" t="s">
        <v>30</v>
      </c>
      <c r="F7" s="13" t="s">
        <v>28</v>
      </c>
    </row>
    <row r="8" spans="2:6" s="14" customFormat="1" ht="21" customHeight="1">
      <c r="B8" s="15">
        <v>3</v>
      </c>
      <c r="C8" s="16" t="s">
        <v>31</v>
      </c>
      <c r="D8" s="16" t="s">
        <v>31</v>
      </c>
      <c r="E8" s="17" t="s">
        <v>32</v>
      </c>
      <c r="F8" s="18" t="s">
        <v>28</v>
      </c>
    </row>
    <row r="9" spans="2:6">
      <c r="B9" s="19">
        <v>4</v>
      </c>
      <c r="C9" s="20" t="s">
        <v>33</v>
      </c>
      <c r="D9" s="94" t="s">
        <v>33</v>
      </c>
      <c r="E9" s="21" t="s">
        <v>34</v>
      </c>
      <c r="F9" s="22" t="s">
        <v>28</v>
      </c>
    </row>
    <row r="10" spans="2:6">
      <c r="B10" s="19">
        <v>5</v>
      </c>
      <c r="C10" s="20" t="s">
        <v>35</v>
      </c>
      <c r="D10" s="94" t="s">
        <v>35</v>
      </c>
      <c r="E10" s="21" t="s">
        <v>36</v>
      </c>
      <c r="F10" s="22" t="s">
        <v>28</v>
      </c>
    </row>
    <row r="11" spans="2:6">
      <c r="B11" s="19">
        <v>6</v>
      </c>
      <c r="C11" s="20" t="s">
        <v>37</v>
      </c>
      <c r="D11" s="94" t="s">
        <v>38</v>
      </c>
      <c r="E11" s="21" t="s">
        <v>39</v>
      </c>
      <c r="F11" s="22" t="s">
        <v>28</v>
      </c>
    </row>
    <row r="12" spans="2:6">
      <c r="B12" s="19"/>
      <c r="C12" s="20"/>
      <c r="D12" s="94"/>
      <c r="E12" s="21"/>
      <c r="F12" s="22"/>
    </row>
    <row r="13" spans="2:6">
      <c r="B13" s="19"/>
      <c r="C13" s="20"/>
      <c r="D13" s="94"/>
      <c r="E13" s="21"/>
      <c r="F13" s="22"/>
    </row>
    <row r="14" spans="2:6">
      <c r="B14" s="19"/>
      <c r="C14" s="20"/>
      <c r="D14" s="23"/>
      <c r="E14" s="23"/>
      <c r="F14" s="22"/>
    </row>
    <row r="15" spans="2:6">
      <c r="B15" s="19"/>
      <c r="C15" s="20"/>
      <c r="D15" s="23"/>
      <c r="E15" s="23"/>
      <c r="F15" s="22"/>
    </row>
    <row r="16" spans="2:6">
      <c r="B16" s="19"/>
      <c r="C16" s="20"/>
      <c r="D16" s="23"/>
      <c r="E16" s="23"/>
      <c r="F16" s="22"/>
    </row>
    <row r="17" spans="2:6">
      <c r="B17" s="19"/>
      <c r="C17" s="20"/>
      <c r="D17" s="23"/>
      <c r="E17" s="23"/>
      <c r="F17" s="22"/>
    </row>
    <row r="18" spans="2:6">
      <c r="B18" s="19"/>
      <c r="C18" s="20"/>
      <c r="D18" s="23"/>
      <c r="E18" s="23"/>
      <c r="F18" s="22"/>
    </row>
    <row r="19" spans="2:6">
      <c r="B19" s="19"/>
      <c r="C19" s="20"/>
      <c r="D19" s="23"/>
      <c r="E19" s="23"/>
      <c r="F19" s="22"/>
    </row>
    <row r="20" spans="2:6">
      <c r="B20" s="19"/>
      <c r="C20" s="20"/>
      <c r="D20" s="23"/>
      <c r="E20" s="23"/>
      <c r="F20" s="22"/>
    </row>
    <row r="21" spans="2:6">
      <c r="B21" s="24"/>
      <c r="C21" s="25"/>
      <c r="D21" s="26"/>
      <c r="E21" s="26"/>
      <c r="F21" s="27"/>
    </row>
  </sheetData>
  <mergeCells count="6">
    <mergeCell ref="D5:F5"/>
    <mergeCell ref="B3:C3"/>
    <mergeCell ref="B5:C5"/>
    <mergeCell ref="D4:F4"/>
    <mergeCell ref="D3:F3"/>
    <mergeCell ref="B4:C4"/>
  </mergeCells>
  <pageMargins left="0.74791666666666667" right="0.74791666666666667" top="0.98402777777777783" bottom="1.150694444444444" header="0.51180555555555562" footer="0.98402777777777783"/>
  <pageSetup paperSize="9" firstPageNumber="0" orientation="landscape" horizontalDpi="300" verticalDpi="300"/>
  <headerFooter alignWithMargins="0">
    <oddFooter>&amp;L&amp;"Tahoma,Regular"&amp;8 02ae-BM/PM/HDCV/FSOFT v2/0&amp;C&amp;"tahoma,Regular"&amp;8 Internal use&amp;R&amp;"tahoma,Regular"&amp;8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B2" sqref="B2"/>
    </sheetView>
  </sheetViews>
  <sheetFormatPr defaultColWidth="9" defaultRowHeight="13.2"/>
  <cols>
    <col min="1" max="1" width="4.44140625" style="1" customWidth="1"/>
    <col min="2" max="2" width="18.33203125" style="1" customWidth="1"/>
    <col min="3" max="3" width="19.33203125" style="1" customWidth="1"/>
    <col min="4" max="6" width="11.6640625" style="1" customWidth="1"/>
    <col min="7" max="7" width="9" style="1" customWidth="1"/>
    <col min="8" max="8" width="35.44140625" style="1" customWidth="1"/>
    <col min="9" max="9" width="33.109375" style="1" customWidth="1"/>
    <col min="10" max="10" width="9" style="1" customWidth="1"/>
    <col min="11" max="16384" width="9" style="1"/>
  </cols>
  <sheetData>
    <row r="1" spans="1:8" ht="25.5" customHeight="1">
      <c r="B1" s="138" t="s">
        <v>40</v>
      </c>
      <c r="C1" s="139"/>
      <c r="D1" s="139"/>
      <c r="E1" s="139"/>
      <c r="F1" s="139"/>
      <c r="G1" s="139"/>
      <c r="H1" s="139"/>
    </row>
    <row r="2" spans="1:8" ht="14.25" customHeight="1">
      <c r="A2" s="47"/>
      <c r="B2" s="47"/>
      <c r="C2" s="48" t="s">
        <v>4</v>
      </c>
      <c r="D2" s="48"/>
      <c r="E2" s="48"/>
      <c r="F2" s="48" t="s">
        <v>41</v>
      </c>
      <c r="G2" s="48"/>
      <c r="H2" s="49"/>
    </row>
    <row r="3" spans="1:8" ht="12" customHeight="1">
      <c r="B3" s="2" t="s">
        <v>3</v>
      </c>
      <c r="C3" s="135" t="s">
        <v>1</v>
      </c>
      <c r="D3" s="129"/>
      <c r="E3" s="136" t="s">
        <v>5</v>
      </c>
      <c r="F3" s="129"/>
      <c r="G3" s="50"/>
      <c r="H3" s="51"/>
    </row>
    <row r="4" spans="1:8" ht="12" customHeight="1">
      <c r="B4" s="2" t="s">
        <v>6</v>
      </c>
      <c r="C4" s="135" t="s">
        <v>42</v>
      </c>
      <c r="D4" s="129"/>
      <c r="E4" s="136" t="s">
        <v>43</v>
      </c>
      <c r="F4" s="129"/>
      <c r="G4" s="50"/>
      <c r="H4" s="51" t="s">
        <v>2</v>
      </c>
    </row>
    <row r="5" spans="1:8" ht="12" customHeight="1">
      <c r="B5" s="52" t="s">
        <v>8</v>
      </c>
      <c r="C5" s="135" t="s">
        <v>44</v>
      </c>
      <c r="D5" s="129"/>
      <c r="E5" s="136" t="s">
        <v>7</v>
      </c>
      <c r="F5" s="129"/>
      <c r="G5" s="50"/>
      <c r="H5" s="53" t="s">
        <v>45</v>
      </c>
    </row>
    <row r="6" spans="1:8" ht="21.75" customHeight="1">
      <c r="A6" s="47"/>
      <c r="B6" s="52" t="s">
        <v>46</v>
      </c>
      <c r="C6" s="137" t="s">
        <v>47</v>
      </c>
      <c r="D6" s="128"/>
      <c r="E6" s="128"/>
      <c r="F6" s="128"/>
      <c r="G6" s="128"/>
      <c r="H6" s="129"/>
    </row>
    <row r="7" spans="1:8" ht="14.25" customHeight="1">
      <c r="A7" s="47"/>
      <c r="B7" s="54">
        <v>1</v>
      </c>
      <c r="C7" s="55" t="s">
        <v>26</v>
      </c>
      <c r="D7" s="48">
        <v>33</v>
      </c>
      <c r="E7" s="48">
        <v>0</v>
      </c>
      <c r="F7" s="48">
        <v>0</v>
      </c>
      <c r="G7" s="48">
        <v>0</v>
      </c>
      <c r="H7" s="48">
        <v>33</v>
      </c>
    </row>
    <row r="8" spans="1:8">
      <c r="B8" s="54">
        <v>2</v>
      </c>
      <c r="C8" s="55" t="s">
        <v>29</v>
      </c>
      <c r="D8" s="48">
        <v>11</v>
      </c>
      <c r="E8" s="48">
        <v>0</v>
      </c>
      <c r="F8" s="48">
        <v>0</v>
      </c>
      <c r="G8" s="48">
        <v>0</v>
      </c>
      <c r="H8" s="48">
        <v>11</v>
      </c>
    </row>
    <row r="9" spans="1:8">
      <c r="B9" s="1">
        <v>3</v>
      </c>
      <c r="C9" s="1" t="s">
        <v>31</v>
      </c>
      <c r="D9" s="1">
        <v>6</v>
      </c>
      <c r="E9" s="1">
        <v>0</v>
      </c>
      <c r="F9" s="1">
        <v>0</v>
      </c>
      <c r="G9" s="1">
        <v>0</v>
      </c>
      <c r="H9" s="1">
        <v>6</v>
      </c>
    </row>
    <row r="10" spans="1:8">
      <c r="A10" s="56"/>
      <c r="B10" s="57">
        <v>4</v>
      </c>
      <c r="C10" s="58" t="s">
        <v>33</v>
      </c>
      <c r="D10" s="59">
        <v>2</v>
      </c>
      <c r="E10" s="58">
        <v>0</v>
      </c>
      <c r="F10" s="58">
        <v>0</v>
      </c>
      <c r="G10" s="60">
        <v>0</v>
      </c>
      <c r="H10" s="61">
        <v>2</v>
      </c>
    </row>
    <row r="11" spans="1:8">
      <c r="A11" s="56"/>
      <c r="B11" s="62">
        <v>5</v>
      </c>
      <c r="C11" s="63" t="s">
        <v>35</v>
      </c>
      <c r="D11" s="64">
        <v>15</v>
      </c>
      <c r="E11" s="64">
        <v>0</v>
      </c>
      <c r="F11" s="64">
        <v>0</v>
      </c>
      <c r="G11" s="64">
        <v>0</v>
      </c>
      <c r="H11" s="66">
        <v>15</v>
      </c>
    </row>
    <row r="12" spans="1:8">
      <c r="A12" s="56"/>
      <c r="B12" s="62">
        <v>6</v>
      </c>
      <c r="C12" s="63" t="s">
        <v>37</v>
      </c>
      <c r="D12" s="64">
        <v>21</v>
      </c>
      <c r="E12" s="64">
        <v>0</v>
      </c>
      <c r="F12" s="64">
        <v>0</v>
      </c>
      <c r="G12" s="64">
        <v>0</v>
      </c>
      <c r="H12" s="64">
        <v>21</v>
      </c>
    </row>
    <row r="13" spans="1:8">
      <c r="A13" s="56"/>
      <c r="B13" s="62"/>
      <c r="C13" s="63" t="s">
        <v>48</v>
      </c>
      <c r="D13" s="64">
        <v>88</v>
      </c>
      <c r="E13" s="64">
        <v>0</v>
      </c>
      <c r="F13" s="64">
        <v>0</v>
      </c>
      <c r="G13" s="65">
        <v>0</v>
      </c>
      <c r="H13" s="66">
        <v>88</v>
      </c>
    </row>
    <row r="14" spans="1:8">
      <c r="A14" s="56"/>
      <c r="B14" s="67"/>
      <c r="C14" s="68"/>
      <c r="D14" s="69"/>
      <c r="E14" s="69"/>
      <c r="F14" s="69"/>
      <c r="G14" s="69"/>
      <c r="H14" s="70"/>
    </row>
    <row r="15" spans="1:8">
      <c r="B15" s="71"/>
      <c r="D15" s="72"/>
      <c r="E15" s="73"/>
      <c r="F15" s="73"/>
      <c r="G15" s="73"/>
      <c r="H15" s="73"/>
    </row>
    <row r="16" spans="1:8">
      <c r="C16" s="74"/>
      <c r="E16" s="75"/>
      <c r="H16" s="33"/>
    </row>
    <row r="17" spans="3:8">
      <c r="C17" s="74"/>
      <c r="E17" s="75"/>
      <c r="H17" s="33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67" right="0.74791666666666667" top="0.98402777777777783" bottom="0.98402777777777772" header="0.51180555555555562" footer="0.5"/>
  <pageSetup firstPageNumber="0" orientation="landscape" horizontalDpi="300" verticalDpi="300"/>
  <headerFooter alignWithMargins="0">
    <oddFooter>&amp;L&amp;"Tahoma,Regular"&amp;8 02ae-BM/PM/HDCV/FSOFT v2/0&amp;C&amp;"tahoma,Regular"&amp;8 Internal use&amp;R&amp;"Tahoma,Regular"&amp;8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42"/>
  <sheetViews>
    <sheetView tabSelected="1" zoomScale="85" zoomScaleNormal="85" workbookViewId="0">
      <pane ySplit="10" topLeftCell="A17" activePane="bottomLeft" state="frozen"/>
      <selection pane="bottomLeft" activeCell="O42" sqref="O42"/>
    </sheetView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24.88671875" style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8" customWidth="1"/>
    <col min="18" max="18" width="7.6640625" style="1" hidden="1" customWidth="1"/>
    <col min="19" max="19" width="9" style="1" customWidth="1"/>
    <col min="20" max="16384" width="9" style="1"/>
  </cols>
  <sheetData>
    <row r="1" spans="1:18" ht="13.8" customHeight="1" thickBot="1">
      <c r="B1" s="1" t="s">
        <v>26</v>
      </c>
    </row>
    <row r="2" spans="1:18" s="30" customFormat="1" ht="15" customHeight="1">
      <c r="A2" s="92" t="s">
        <v>49</v>
      </c>
      <c r="B2" s="143" t="s">
        <v>50</v>
      </c>
      <c r="C2" s="144"/>
      <c r="D2" s="144"/>
      <c r="E2" s="145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51</v>
      </c>
    </row>
    <row r="3" spans="1:18" s="30" customFormat="1" ht="26.4" customHeight="1">
      <c r="A3" s="93" t="s">
        <v>52</v>
      </c>
      <c r="B3" s="140">
        <v>33</v>
      </c>
      <c r="C3" s="141"/>
      <c r="D3" s="141"/>
      <c r="E3" s="142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53</v>
      </c>
    </row>
    <row r="4" spans="1:18" s="30" customFormat="1" ht="18" customHeight="1">
      <c r="A4" s="93" t="s">
        <v>54</v>
      </c>
      <c r="B4" s="140">
        <f>COUNTA(A9:A1000)</f>
        <v>33</v>
      </c>
      <c r="C4" s="141"/>
      <c r="D4" s="141"/>
      <c r="E4" s="142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55</v>
      </c>
    </row>
    <row r="5" spans="1:18" s="30" customFormat="1" ht="19.5" customHeight="1">
      <c r="A5" s="86" t="s">
        <v>56</v>
      </c>
      <c r="B5" s="84">
        <v>33</v>
      </c>
      <c r="C5" s="84">
        <v>0</v>
      </c>
      <c r="D5" s="84">
        <v>0</v>
      </c>
      <c r="E5" s="87">
        <v>0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57</v>
      </c>
    </row>
    <row r="6" spans="1:18" s="30" customFormat="1" ht="15" customHeight="1">
      <c r="A6" s="86" t="s">
        <v>58</v>
      </c>
      <c r="B6" s="85">
        <v>33</v>
      </c>
      <c r="C6" s="85">
        <v>0</v>
      </c>
      <c r="D6" s="85">
        <v>0</v>
      </c>
      <c r="E6" s="91"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/>
      <c r="B7" s="85"/>
      <c r="C7" s="85"/>
      <c r="D7" s="85"/>
      <c r="E7" s="91"/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59</v>
      </c>
      <c r="B8" s="89">
        <f>COUNTIF($F9:$F998,B5)</f>
        <v>0</v>
      </c>
      <c r="C8" s="89">
        <f>COUNTIF($F9:$F998,C5)</f>
        <v>0</v>
      </c>
      <c r="D8" s="89">
        <f>COUNTIF($F9:$F998,D5)</f>
        <v>0</v>
      </c>
      <c r="E8" s="90">
        <f>COUNTIF($F9:$F998,E5)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 t="s">
        <v>60</v>
      </c>
      <c r="B9" s="31" t="s">
        <v>61</v>
      </c>
      <c r="C9" s="31" t="s">
        <v>62</v>
      </c>
      <c r="D9" s="31" t="s">
        <v>63</v>
      </c>
      <c r="E9" s="31" t="s">
        <v>64</v>
      </c>
      <c r="F9" s="33" t="s">
        <v>51</v>
      </c>
      <c r="G9" s="31" t="s">
        <v>2</v>
      </c>
      <c r="H9" s="31" t="s">
        <v>41</v>
      </c>
      <c r="I9" s="33" t="s">
        <v>51</v>
      </c>
      <c r="J9" s="31" t="s">
        <v>2</v>
      </c>
      <c r="K9" s="31" t="s">
        <v>41</v>
      </c>
      <c r="L9" s="33"/>
      <c r="M9" s="31"/>
      <c r="N9" s="31"/>
      <c r="O9" s="31" t="s">
        <v>65</v>
      </c>
      <c r="P9" s="31"/>
      <c r="Q9" s="32"/>
    </row>
    <row r="10" spans="1:18" s="30" customFormat="1" ht="25.5" customHeight="1">
      <c r="A10" s="83" t="s">
        <v>66</v>
      </c>
      <c r="B10" s="83" t="s">
        <v>67</v>
      </c>
      <c r="C10" s="83" t="s">
        <v>68</v>
      </c>
      <c r="D10" s="83" t="s">
        <v>69</v>
      </c>
      <c r="E10" s="83" t="s">
        <v>70</v>
      </c>
      <c r="F10" s="83" t="s">
        <v>51</v>
      </c>
      <c r="G10" s="83" t="s">
        <v>2</v>
      </c>
      <c r="H10" s="83" t="s">
        <v>41</v>
      </c>
      <c r="I10" s="83" t="s">
        <v>51</v>
      </c>
      <c r="J10" s="83" t="s">
        <v>2</v>
      </c>
      <c r="K10" s="83" t="s">
        <v>41</v>
      </c>
      <c r="L10" s="83"/>
      <c r="M10" s="83"/>
      <c r="N10" s="83"/>
      <c r="O10" s="83" t="s">
        <v>65</v>
      </c>
      <c r="Q10" s="34"/>
    </row>
    <row r="11" spans="1:18" s="30" customFormat="1" ht="15.75" customHeight="1">
      <c r="A11" s="79" t="s">
        <v>71</v>
      </c>
      <c r="B11" s="79" t="s">
        <v>72</v>
      </c>
      <c r="C11" s="80" t="s">
        <v>73</v>
      </c>
      <c r="D11" s="80" t="s">
        <v>74</v>
      </c>
      <c r="E11" s="80" t="s">
        <v>75</v>
      </c>
      <c r="F11" s="80" t="s">
        <v>51</v>
      </c>
      <c r="G11" s="80" t="s">
        <v>2</v>
      </c>
      <c r="H11" s="80" t="s">
        <v>41</v>
      </c>
      <c r="I11" s="80" t="s">
        <v>51</v>
      </c>
      <c r="J11" s="80" t="s">
        <v>2</v>
      </c>
      <c r="K11" s="80" t="s">
        <v>41</v>
      </c>
      <c r="L11" s="80"/>
      <c r="M11" s="80"/>
      <c r="N11" s="80"/>
      <c r="O11" s="81" t="s">
        <v>65</v>
      </c>
      <c r="Q11" s="38"/>
    </row>
    <row r="12" spans="1:18" s="44" customFormat="1" ht="121.05" customHeight="1" outlineLevel="1">
      <c r="A12" s="39" t="s">
        <v>76</v>
      </c>
      <c r="B12" s="40" t="s">
        <v>77</v>
      </c>
      <c r="C12" s="40" t="s">
        <v>78</v>
      </c>
      <c r="D12" s="41" t="s">
        <v>79</v>
      </c>
      <c r="E12" s="41" t="s">
        <v>70</v>
      </c>
      <c r="F12" s="39" t="s">
        <v>51</v>
      </c>
      <c r="G12" s="39" t="s">
        <v>2</v>
      </c>
      <c r="H12" s="39" t="s">
        <v>41</v>
      </c>
      <c r="I12" s="39" t="s">
        <v>51</v>
      </c>
      <c r="J12" s="39" t="s">
        <v>2</v>
      </c>
      <c r="K12" s="39" t="s">
        <v>41</v>
      </c>
      <c r="L12" s="39"/>
      <c r="M12" s="39"/>
      <c r="N12" s="39"/>
      <c r="O12" s="42" t="s">
        <v>65</v>
      </c>
      <c r="Q12" s="43"/>
    </row>
    <row r="13" spans="1:18" ht="39.6" customHeight="1" outlineLevel="1">
      <c r="A13" s="39" t="s">
        <v>80</v>
      </c>
      <c r="B13" s="39" t="s">
        <v>81</v>
      </c>
      <c r="C13" s="39" t="s">
        <v>82</v>
      </c>
      <c r="D13" s="45" t="s">
        <v>83</v>
      </c>
      <c r="E13" s="45" t="s">
        <v>84</v>
      </c>
      <c r="F13" s="39" t="s">
        <v>51</v>
      </c>
      <c r="G13" s="39" t="s">
        <v>2</v>
      </c>
      <c r="H13" s="39" t="s">
        <v>41</v>
      </c>
      <c r="I13" s="39" t="s">
        <v>51</v>
      </c>
      <c r="J13" s="39" t="s">
        <v>2</v>
      </c>
      <c r="K13" s="39" t="s">
        <v>41</v>
      </c>
      <c r="L13" s="39"/>
      <c r="M13" s="39"/>
      <c r="N13" s="39"/>
      <c r="O13" s="42" t="s">
        <v>65</v>
      </c>
      <c r="Q13" s="43"/>
    </row>
    <row r="14" spans="1:18" ht="39.6" customHeight="1" outlineLevel="1">
      <c r="A14" s="39" t="s">
        <v>85</v>
      </c>
      <c r="B14" s="39" t="s">
        <v>86</v>
      </c>
      <c r="C14" s="39" t="s">
        <v>87</v>
      </c>
      <c r="D14" s="45" t="s">
        <v>88</v>
      </c>
      <c r="E14" s="45" t="s">
        <v>89</v>
      </c>
      <c r="F14" s="39" t="s">
        <v>51</v>
      </c>
      <c r="G14" s="39" t="s">
        <v>2</v>
      </c>
      <c r="H14" s="39" t="s">
        <v>41</v>
      </c>
      <c r="I14" s="39" t="s">
        <v>51</v>
      </c>
      <c r="J14" s="39" t="s">
        <v>2</v>
      </c>
      <c r="K14" s="39" t="s">
        <v>41</v>
      </c>
      <c r="L14" s="39"/>
      <c r="M14" s="39"/>
      <c r="N14" s="39"/>
      <c r="O14" s="42" t="s">
        <v>65</v>
      </c>
      <c r="Q14" s="43"/>
    </row>
    <row r="15" spans="1:18" s="30" customFormat="1" ht="15.75" customHeight="1">
      <c r="A15" s="79" t="s">
        <v>90</v>
      </c>
      <c r="B15" s="35" t="s">
        <v>91</v>
      </c>
      <c r="C15" s="36" t="s">
        <v>92</v>
      </c>
      <c r="D15" s="36" t="s">
        <v>93</v>
      </c>
      <c r="E15" s="36" t="s">
        <v>94</v>
      </c>
      <c r="F15" s="36" t="s">
        <v>51</v>
      </c>
      <c r="G15" s="36" t="s">
        <v>2</v>
      </c>
      <c r="H15" s="36" t="s">
        <v>41</v>
      </c>
      <c r="I15" s="36" t="s">
        <v>51</v>
      </c>
      <c r="J15" s="36" t="s">
        <v>2</v>
      </c>
      <c r="K15" s="36" t="s">
        <v>41</v>
      </c>
      <c r="L15" s="36"/>
      <c r="M15" s="36"/>
      <c r="N15" s="36"/>
      <c r="O15" s="37" t="s">
        <v>65</v>
      </c>
      <c r="Q15" s="38"/>
    </row>
    <row r="16" spans="1:18" ht="39.6" customHeight="1" outlineLevel="1">
      <c r="A16" s="39" t="s">
        <v>95</v>
      </c>
      <c r="B16" s="39" t="s">
        <v>96</v>
      </c>
      <c r="C16" s="39" t="s">
        <v>97</v>
      </c>
      <c r="D16" s="39" t="s">
        <v>98</v>
      </c>
      <c r="E16" s="39" t="s">
        <v>99</v>
      </c>
      <c r="F16" s="39" t="s">
        <v>51</v>
      </c>
      <c r="G16" s="39" t="s">
        <v>2</v>
      </c>
      <c r="H16" s="39" t="s">
        <v>41</v>
      </c>
      <c r="I16" s="39" t="s">
        <v>51</v>
      </c>
      <c r="J16" s="39" t="s">
        <v>2</v>
      </c>
      <c r="K16" s="39" t="s">
        <v>41</v>
      </c>
      <c r="L16" s="39"/>
      <c r="M16" s="39"/>
      <c r="N16" s="39"/>
      <c r="O16" s="42" t="s">
        <v>65</v>
      </c>
      <c r="Q16" s="43"/>
    </row>
    <row r="17" spans="1:17" ht="39.6" customHeight="1" outlineLevel="1">
      <c r="A17" s="39" t="s">
        <v>100</v>
      </c>
      <c r="B17" s="39" t="s">
        <v>101</v>
      </c>
      <c r="C17" s="39" t="s">
        <v>102</v>
      </c>
      <c r="D17" s="39" t="s">
        <v>103</v>
      </c>
      <c r="E17" s="39" t="s">
        <v>104</v>
      </c>
      <c r="F17" s="39" t="s">
        <v>51</v>
      </c>
      <c r="G17" s="46" t="s">
        <v>2</v>
      </c>
      <c r="H17" s="46" t="s">
        <v>41</v>
      </c>
      <c r="I17" s="39" t="s">
        <v>51</v>
      </c>
      <c r="J17" s="46" t="s">
        <v>2</v>
      </c>
      <c r="K17" s="46" t="s">
        <v>41</v>
      </c>
      <c r="L17" s="39"/>
      <c r="M17" s="46"/>
      <c r="N17" s="46"/>
      <c r="O17" s="46" t="s">
        <v>65</v>
      </c>
    </row>
    <row r="18" spans="1:17" s="30" customFormat="1" ht="15.75" customHeight="1">
      <c r="A18" s="79" t="s">
        <v>105</v>
      </c>
      <c r="B18" s="35" t="s">
        <v>106</v>
      </c>
      <c r="C18" s="36" t="s">
        <v>107</v>
      </c>
      <c r="D18" s="36" t="s">
        <v>108</v>
      </c>
      <c r="E18" s="36" t="s">
        <v>109</v>
      </c>
      <c r="F18" s="36" t="s">
        <v>51</v>
      </c>
      <c r="G18" s="36" t="s">
        <v>2</v>
      </c>
      <c r="H18" s="36" t="s">
        <v>41</v>
      </c>
      <c r="I18" s="36" t="s">
        <v>51</v>
      </c>
      <c r="J18" s="36" t="s">
        <v>2</v>
      </c>
      <c r="K18" s="36" t="s">
        <v>41</v>
      </c>
      <c r="L18" s="36"/>
      <c r="M18" s="36"/>
      <c r="N18" s="36"/>
      <c r="O18" s="37" t="s">
        <v>65</v>
      </c>
      <c r="Q18" s="38"/>
    </row>
    <row r="19" spans="1:17" ht="39.6" customHeight="1" outlineLevel="1">
      <c r="A19" s="39" t="s">
        <v>110</v>
      </c>
      <c r="B19" s="39" t="s">
        <v>111</v>
      </c>
      <c r="C19" s="39" t="s">
        <v>112</v>
      </c>
      <c r="D19" s="39" t="s">
        <v>113</v>
      </c>
      <c r="E19" s="39" t="s">
        <v>64</v>
      </c>
      <c r="F19" s="39" t="s">
        <v>51</v>
      </c>
      <c r="G19" s="39" t="s">
        <v>2</v>
      </c>
      <c r="H19" s="39" t="s">
        <v>41</v>
      </c>
      <c r="I19" s="39" t="s">
        <v>51</v>
      </c>
      <c r="J19" s="39" t="s">
        <v>2</v>
      </c>
      <c r="K19" s="39" t="s">
        <v>41</v>
      </c>
      <c r="L19" s="39"/>
      <c r="M19" s="39"/>
      <c r="N19" s="39"/>
      <c r="O19" s="42" t="s">
        <v>65</v>
      </c>
      <c r="Q19" s="43"/>
    </row>
    <row r="20" spans="1:17">
      <c r="A20" s="1" t="s">
        <v>114</v>
      </c>
      <c r="B20" s="1" t="s">
        <v>115</v>
      </c>
      <c r="C20" s="1" t="s">
        <v>116</v>
      </c>
      <c r="D20" s="1" t="s">
        <v>117</v>
      </c>
      <c r="E20" s="1" t="s">
        <v>118</v>
      </c>
      <c r="F20" s="1" t="s">
        <v>51</v>
      </c>
      <c r="G20" s="1" t="s">
        <v>2</v>
      </c>
      <c r="H20" s="1" t="s">
        <v>41</v>
      </c>
      <c r="I20" s="1" t="s">
        <v>51</v>
      </c>
      <c r="J20" s="1" t="s">
        <v>2</v>
      </c>
      <c r="K20" s="1" t="s">
        <v>41</v>
      </c>
      <c r="O20" s="1" t="s">
        <v>65</v>
      </c>
    </row>
    <row r="21" spans="1:17">
      <c r="A21" s="1" t="s">
        <v>119</v>
      </c>
      <c r="B21" s="1" t="s">
        <v>120</v>
      </c>
      <c r="C21" s="1" t="s">
        <v>121</v>
      </c>
      <c r="D21" s="1" t="s">
        <v>122</v>
      </c>
      <c r="E21" s="1" t="s">
        <v>123</v>
      </c>
      <c r="F21" s="1" t="s">
        <v>51</v>
      </c>
      <c r="G21" s="1" t="s">
        <v>2</v>
      </c>
      <c r="H21" s="1" t="s">
        <v>41</v>
      </c>
      <c r="I21" s="1" t="s">
        <v>51</v>
      </c>
      <c r="J21" s="1" t="s">
        <v>2</v>
      </c>
      <c r="K21" s="1" t="s">
        <v>41</v>
      </c>
      <c r="O21" s="1" t="s">
        <v>65</v>
      </c>
    </row>
    <row r="22" spans="1:17">
      <c r="A22" s="1" t="s">
        <v>124</v>
      </c>
      <c r="B22" s="1" t="s">
        <v>125</v>
      </c>
      <c r="C22" s="1" t="s">
        <v>126</v>
      </c>
      <c r="D22" s="1" t="s">
        <v>127</v>
      </c>
      <c r="E22" s="1" t="s">
        <v>128</v>
      </c>
      <c r="F22" s="1" t="s">
        <v>51</v>
      </c>
      <c r="G22" s="1" t="s">
        <v>2</v>
      </c>
      <c r="H22" s="1" t="s">
        <v>41</v>
      </c>
      <c r="I22" s="1" t="s">
        <v>51</v>
      </c>
      <c r="J22" s="1" t="s">
        <v>2</v>
      </c>
      <c r="K22" s="1" t="s">
        <v>41</v>
      </c>
      <c r="O22" s="1" t="s">
        <v>65</v>
      </c>
    </row>
    <row r="23" spans="1:17">
      <c r="A23" s="1" t="s">
        <v>129</v>
      </c>
      <c r="B23" s="1" t="s">
        <v>130</v>
      </c>
      <c r="C23" s="1" t="s">
        <v>131</v>
      </c>
      <c r="D23" s="1" t="s">
        <v>132</v>
      </c>
      <c r="E23" s="1" t="s">
        <v>133</v>
      </c>
      <c r="F23" s="1" t="s">
        <v>51</v>
      </c>
      <c r="G23" s="1" t="s">
        <v>2</v>
      </c>
      <c r="H23" s="1" t="s">
        <v>41</v>
      </c>
      <c r="I23" s="1" t="s">
        <v>51</v>
      </c>
      <c r="J23" s="1" t="s">
        <v>2</v>
      </c>
      <c r="K23" s="1" t="s">
        <v>41</v>
      </c>
      <c r="O23" s="1" t="s">
        <v>65</v>
      </c>
    </row>
    <row r="24" spans="1:17">
      <c r="A24" s="1" t="s">
        <v>134</v>
      </c>
      <c r="B24" s="1" t="s">
        <v>135</v>
      </c>
      <c r="C24" s="1" t="s">
        <v>136</v>
      </c>
      <c r="D24" s="1" t="s">
        <v>88</v>
      </c>
      <c r="E24" s="1" t="s">
        <v>109</v>
      </c>
      <c r="F24" s="1" t="s">
        <v>51</v>
      </c>
      <c r="G24" s="1" t="s">
        <v>2</v>
      </c>
      <c r="H24" s="1" t="s">
        <v>41</v>
      </c>
      <c r="I24" s="1" t="s">
        <v>51</v>
      </c>
      <c r="J24" s="1" t="s">
        <v>2</v>
      </c>
      <c r="K24" s="1" t="s">
        <v>41</v>
      </c>
      <c r="O24" s="1" t="s">
        <v>65</v>
      </c>
    </row>
    <row r="25" spans="1:17" ht="15" customHeight="1">
      <c r="A25" s="146" t="s">
        <v>137</v>
      </c>
      <c r="B25" s="146" t="s">
        <v>138</v>
      </c>
      <c r="C25" s="146" t="s">
        <v>139</v>
      </c>
      <c r="D25" s="146" t="s">
        <v>140</v>
      </c>
      <c r="E25" s="146" t="s">
        <v>99</v>
      </c>
      <c r="F25" s="147" t="s">
        <v>51</v>
      </c>
      <c r="G25" s="146" t="s">
        <v>2</v>
      </c>
      <c r="H25" s="146" t="s">
        <v>41</v>
      </c>
      <c r="I25" s="147" t="s">
        <v>51</v>
      </c>
      <c r="J25" s="146" t="s">
        <v>2</v>
      </c>
      <c r="K25" s="148" t="s">
        <v>41</v>
      </c>
      <c r="L25" s="148"/>
      <c r="M25" s="146"/>
      <c r="N25" s="146"/>
      <c r="O25" s="146" t="s">
        <v>65</v>
      </c>
      <c r="P25" s="31"/>
      <c r="Q25" s="32"/>
    </row>
    <row r="26" spans="1:17" ht="15" customHeight="1">
      <c r="A26" s="146" t="s">
        <v>141</v>
      </c>
      <c r="B26" s="146" t="s">
        <v>142</v>
      </c>
      <c r="C26" s="146" t="s">
        <v>143</v>
      </c>
      <c r="D26" s="146" t="s">
        <v>144</v>
      </c>
      <c r="E26" s="146" t="s">
        <v>145</v>
      </c>
      <c r="F26" s="147" t="s">
        <v>51</v>
      </c>
      <c r="G26" s="146" t="s">
        <v>2</v>
      </c>
      <c r="H26" s="146" t="s">
        <v>41</v>
      </c>
      <c r="I26" s="147" t="s">
        <v>51</v>
      </c>
      <c r="J26" s="146" t="s">
        <v>2</v>
      </c>
      <c r="K26" s="148" t="s">
        <v>41</v>
      </c>
      <c r="L26" s="148"/>
      <c r="M26" s="146"/>
      <c r="N26" s="146"/>
      <c r="O26" s="146" t="s">
        <v>65</v>
      </c>
      <c r="P26" s="31"/>
      <c r="Q26" s="32"/>
    </row>
    <row r="27" spans="1:17" ht="15" customHeight="1">
      <c r="A27" s="146" t="s">
        <v>146</v>
      </c>
      <c r="B27" s="146" t="s">
        <v>147</v>
      </c>
      <c r="C27" s="146" t="s">
        <v>148</v>
      </c>
      <c r="D27" s="146" t="s">
        <v>149</v>
      </c>
      <c r="E27" s="146" t="s">
        <v>99</v>
      </c>
      <c r="F27" s="147" t="s">
        <v>51</v>
      </c>
      <c r="G27" s="146" t="s">
        <v>2</v>
      </c>
      <c r="H27" s="146" t="s">
        <v>41</v>
      </c>
      <c r="I27" s="147" t="s">
        <v>51</v>
      </c>
      <c r="J27" s="146" t="s">
        <v>2</v>
      </c>
      <c r="K27" s="148" t="s">
        <v>41</v>
      </c>
      <c r="L27" s="148"/>
      <c r="M27" s="146"/>
      <c r="N27" s="146"/>
      <c r="O27" s="146" t="s">
        <v>65</v>
      </c>
      <c r="P27" s="31"/>
      <c r="Q27" s="32"/>
    </row>
    <row r="28" spans="1:17" ht="15" customHeight="1">
      <c r="A28" s="146" t="s">
        <v>150</v>
      </c>
      <c r="B28" s="146" t="s">
        <v>151</v>
      </c>
      <c r="C28" s="146" t="s">
        <v>152</v>
      </c>
      <c r="D28" s="146" t="s">
        <v>153</v>
      </c>
      <c r="E28" s="146" t="s">
        <v>154</v>
      </c>
      <c r="F28" s="147" t="s">
        <v>51</v>
      </c>
      <c r="G28" s="146" t="s">
        <v>2</v>
      </c>
      <c r="H28" s="146" t="s">
        <v>41</v>
      </c>
      <c r="I28" s="147" t="s">
        <v>51</v>
      </c>
      <c r="J28" s="146" t="s">
        <v>2</v>
      </c>
      <c r="K28" s="148" t="s">
        <v>41</v>
      </c>
      <c r="L28" s="148"/>
      <c r="M28" s="146"/>
      <c r="N28" s="146"/>
      <c r="O28" s="146" t="s">
        <v>65</v>
      </c>
      <c r="P28" s="31"/>
      <c r="Q28" s="32"/>
    </row>
    <row r="29" spans="1:17" ht="15" customHeight="1">
      <c r="A29" s="146" t="s">
        <v>155</v>
      </c>
      <c r="B29" s="146" t="s">
        <v>156</v>
      </c>
      <c r="C29" s="146" t="s">
        <v>157</v>
      </c>
      <c r="D29" s="146" t="s">
        <v>158</v>
      </c>
      <c r="E29" s="146" t="s">
        <v>64</v>
      </c>
      <c r="F29" s="147" t="s">
        <v>51</v>
      </c>
      <c r="G29" s="146" t="s">
        <v>2</v>
      </c>
      <c r="H29" s="146" t="s">
        <v>41</v>
      </c>
      <c r="I29" s="147" t="s">
        <v>51</v>
      </c>
      <c r="J29" s="146" t="s">
        <v>2</v>
      </c>
      <c r="K29" s="148" t="s">
        <v>41</v>
      </c>
      <c r="L29" s="148"/>
      <c r="M29" s="146"/>
      <c r="N29" s="146"/>
      <c r="O29" s="146" t="s">
        <v>65</v>
      </c>
      <c r="P29" s="31"/>
      <c r="Q29" s="32"/>
    </row>
    <row r="30" spans="1:17" ht="15" customHeight="1">
      <c r="A30" s="146" t="s">
        <v>159</v>
      </c>
      <c r="B30" s="146" t="s">
        <v>160</v>
      </c>
      <c r="C30" s="146" t="s">
        <v>161</v>
      </c>
      <c r="D30" s="146" t="s">
        <v>162</v>
      </c>
      <c r="E30" s="146" t="s">
        <v>75</v>
      </c>
      <c r="F30" s="147" t="s">
        <v>51</v>
      </c>
      <c r="G30" s="146" t="s">
        <v>2</v>
      </c>
      <c r="H30" s="146" t="s">
        <v>41</v>
      </c>
      <c r="I30" s="147" t="s">
        <v>51</v>
      </c>
      <c r="J30" s="146" t="s">
        <v>2</v>
      </c>
      <c r="K30" s="148" t="s">
        <v>41</v>
      </c>
      <c r="L30" s="148"/>
      <c r="M30" s="146"/>
      <c r="N30" s="146"/>
      <c r="O30" s="146" t="s">
        <v>65</v>
      </c>
      <c r="P30" s="31"/>
      <c r="Q30" s="32"/>
    </row>
    <row r="31" spans="1:17" ht="15" customHeight="1">
      <c r="A31" s="146" t="s">
        <v>163</v>
      </c>
      <c r="B31" s="146" t="s">
        <v>164</v>
      </c>
      <c r="C31" s="146" t="s">
        <v>165</v>
      </c>
      <c r="D31" s="146" t="s">
        <v>166</v>
      </c>
      <c r="E31" s="146" t="s">
        <v>109</v>
      </c>
      <c r="F31" s="147" t="s">
        <v>51</v>
      </c>
      <c r="G31" s="146" t="s">
        <v>2</v>
      </c>
      <c r="H31" s="146" t="s">
        <v>41</v>
      </c>
      <c r="I31" s="147" t="s">
        <v>51</v>
      </c>
      <c r="J31" s="146" t="s">
        <v>2</v>
      </c>
      <c r="K31" s="148" t="s">
        <v>41</v>
      </c>
      <c r="L31" s="148"/>
      <c r="M31" s="146"/>
      <c r="N31" s="146"/>
      <c r="O31" s="146" t="s">
        <v>65</v>
      </c>
      <c r="P31" s="31"/>
      <c r="Q31" s="32"/>
    </row>
    <row r="32" spans="1:17" ht="15" customHeight="1">
      <c r="A32" s="146" t="s">
        <v>167</v>
      </c>
      <c r="B32" s="146" t="s">
        <v>168</v>
      </c>
      <c r="C32" s="146" t="s">
        <v>169</v>
      </c>
      <c r="D32" s="146" t="s">
        <v>170</v>
      </c>
      <c r="E32" s="146" t="s">
        <v>109</v>
      </c>
      <c r="F32" s="147" t="s">
        <v>51</v>
      </c>
      <c r="G32" s="146" t="s">
        <v>2</v>
      </c>
      <c r="H32" s="146" t="s">
        <v>41</v>
      </c>
      <c r="I32" s="147" t="s">
        <v>51</v>
      </c>
      <c r="J32" s="146" t="s">
        <v>2</v>
      </c>
      <c r="K32" s="148" t="s">
        <v>41</v>
      </c>
      <c r="L32" s="148"/>
      <c r="M32" s="146"/>
      <c r="N32" s="146"/>
      <c r="O32" s="146" t="s">
        <v>65</v>
      </c>
      <c r="P32" s="31"/>
      <c r="Q32" s="32"/>
    </row>
    <row r="33" spans="1:17" ht="15" customHeight="1">
      <c r="A33" s="146" t="s">
        <v>171</v>
      </c>
      <c r="B33" s="146" t="s">
        <v>172</v>
      </c>
      <c r="C33" s="146" t="s">
        <v>173</v>
      </c>
      <c r="D33" s="146" t="s">
        <v>174</v>
      </c>
      <c r="E33" s="146" t="s">
        <v>70</v>
      </c>
      <c r="F33" s="147" t="s">
        <v>51</v>
      </c>
      <c r="G33" s="146" t="s">
        <v>2</v>
      </c>
      <c r="H33" s="146" t="s">
        <v>41</v>
      </c>
      <c r="I33" s="147" t="s">
        <v>51</v>
      </c>
      <c r="J33" s="146" t="s">
        <v>2</v>
      </c>
      <c r="K33" s="148" t="s">
        <v>41</v>
      </c>
      <c r="L33" s="148"/>
      <c r="M33" s="146"/>
      <c r="N33" s="146"/>
      <c r="O33" s="146" t="s">
        <v>65</v>
      </c>
      <c r="P33" s="31"/>
      <c r="Q33" s="32"/>
    </row>
    <row r="34" spans="1:17" ht="15" customHeight="1">
      <c r="A34" s="146" t="s">
        <v>175</v>
      </c>
      <c r="B34" s="146" t="s">
        <v>176</v>
      </c>
      <c r="C34" s="146" t="s">
        <v>177</v>
      </c>
      <c r="D34" s="146" t="s">
        <v>178</v>
      </c>
      <c r="E34" s="146" t="s">
        <v>179</v>
      </c>
      <c r="F34" s="147" t="s">
        <v>51</v>
      </c>
      <c r="G34" s="146" t="s">
        <v>2</v>
      </c>
      <c r="H34" s="146" t="s">
        <v>41</v>
      </c>
      <c r="I34" s="147" t="s">
        <v>51</v>
      </c>
      <c r="J34" s="146" t="s">
        <v>2</v>
      </c>
      <c r="K34" s="148" t="s">
        <v>41</v>
      </c>
      <c r="L34" s="148"/>
      <c r="M34" s="146"/>
      <c r="N34" s="146"/>
      <c r="O34" s="146" t="s">
        <v>65</v>
      </c>
      <c r="P34" s="31"/>
      <c r="Q34" s="32"/>
    </row>
    <row r="35" spans="1:17" ht="15" customHeight="1">
      <c r="A35" s="146" t="s">
        <v>180</v>
      </c>
      <c r="B35" s="146" t="s">
        <v>181</v>
      </c>
      <c r="C35" s="146" t="s">
        <v>182</v>
      </c>
      <c r="D35" s="146" t="s">
        <v>183</v>
      </c>
      <c r="E35" s="146" t="s">
        <v>109</v>
      </c>
      <c r="F35" s="147" t="s">
        <v>51</v>
      </c>
      <c r="G35" s="146" t="s">
        <v>2</v>
      </c>
      <c r="H35" s="146" t="s">
        <v>41</v>
      </c>
      <c r="I35" s="147" t="s">
        <v>51</v>
      </c>
      <c r="J35" s="146" t="s">
        <v>2</v>
      </c>
      <c r="K35" s="148" t="s">
        <v>41</v>
      </c>
      <c r="L35" s="148"/>
      <c r="M35" s="146"/>
      <c r="N35" s="146"/>
      <c r="O35" s="146" t="s">
        <v>65</v>
      </c>
      <c r="P35" s="31"/>
      <c r="Q35" s="32"/>
    </row>
    <row r="36" spans="1:17" ht="15" customHeight="1">
      <c r="A36" s="146" t="s">
        <v>184</v>
      </c>
      <c r="B36" s="146" t="s">
        <v>185</v>
      </c>
      <c r="C36" s="146" t="s">
        <v>186</v>
      </c>
      <c r="D36" s="146" t="s">
        <v>187</v>
      </c>
      <c r="E36" s="146" t="s">
        <v>109</v>
      </c>
      <c r="F36" s="147" t="s">
        <v>51</v>
      </c>
      <c r="G36" s="146" t="s">
        <v>2</v>
      </c>
      <c r="H36" s="146" t="s">
        <v>41</v>
      </c>
      <c r="I36" s="147" t="s">
        <v>51</v>
      </c>
      <c r="J36" s="146" t="s">
        <v>2</v>
      </c>
      <c r="K36" s="148" t="s">
        <v>41</v>
      </c>
      <c r="L36" s="148"/>
      <c r="M36" s="146"/>
      <c r="N36" s="146"/>
      <c r="O36" s="146" t="s">
        <v>65</v>
      </c>
      <c r="P36" s="31"/>
      <c r="Q36" s="32"/>
    </row>
    <row r="37" spans="1:17" ht="15" customHeight="1">
      <c r="A37" s="146" t="s">
        <v>188</v>
      </c>
      <c r="B37" s="146" t="s">
        <v>189</v>
      </c>
      <c r="C37" s="146" t="s">
        <v>190</v>
      </c>
      <c r="D37" s="146" t="s">
        <v>191</v>
      </c>
      <c r="E37" s="146" t="s">
        <v>192</v>
      </c>
      <c r="F37" s="147" t="s">
        <v>51</v>
      </c>
      <c r="G37" s="146" t="s">
        <v>2</v>
      </c>
      <c r="H37" s="146" t="s">
        <v>41</v>
      </c>
      <c r="I37" s="147" t="s">
        <v>51</v>
      </c>
      <c r="J37" s="146" t="s">
        <v>2</v>
      </c>
      <c r="K37" s="148" t="s">
        <v>41</v>
      </c>
      <c r="L37" s="148"/>
      <c r="M37" s="146"/>
      <c r="N37" s="146"/>
      <c r="O37" s="146" t="s">
        <v>65</v>
      </c>
      <c r="P37" s="31"/>
      <c r="Q37" s="32"/>
    </row>
    <row r="38" spans="1:17" ht="15" customHeight="1">
      <c r="A38" s="146" t="s">
        <v>193</v>
      </c>
      <c r="B38" s="146" t="s">
        <v>194</v>
      </c>
      <c r="C38" s="146" t="s">
        <v>195</v>
      </c>
      <c r="D38" s="146" t="s">
        <v>196</v>
      </c>
      <c r="E38" s="146" t="s">
        <v>197</v>
      </c>
      <c r="F38" s="147" t="s">
        <v>51</v>
      </c>
      <c r="G38" s="146" t="s">
        <v>2</v>
      </c>
      <c r="H38" s="146" t="s">
        <v>41</v>
      </c>
      <c r="I38" s="147" t="s">
        <v>51</v>
      </c>
      <c r="J38" s="146" t="s">
        <v>2</v>
      </c>
      <c r="K38" s="148" t="s">
        <v>41</v>
      </c>
      <c r="L38" s="148"/>
      <c r="M38" s="146"/>
      <c r="N38" s="146"/>
      <c r="O38" s="146" t="s">
        <v>65</v>
      </c>
      <c r="P38" s="31"/>
      <c r="Q38" s="32"/>
    </row>
    <row r="39" spans="1:17" ht="15" customHeight="1">
      <c r="A39" s="146" t="s">
        <v>198</v>
      </c>
      <c r="B39" s="146" t="s">
        <v>199</v>
      </c>
      <c r="C39" s="146" t="s">
        <v>200</v>
      </c>
      <c r="D39" s="146" t="s">
        <v>201</v>
      </c>
      <c r="E39" s="146" t="s">
        <v>197</v>
      </c>
      <c r="F39" s="147" t="s">
        <v>51</v>
      </c>
      <c r="G39" s="146" t="s">
        <v>2</v>
      </c>
      <c r="H39" s="146" t="s">
        <v>41</v>
      </c>
      <c r="I39" s="147" t="s">
        <v>51</v>
      </c>
      <c r="J39" s="146" t="s">
        <v>2</v>
      </c>
      <c r="K39" s="148" t="s">
        <v>41</v>
      </c>
      <c r="L39" s="148"/>
      <c r="M39" s="146"/>
      <c r="N39" s="146"/>
      <c r="O39" s="146" t="s">
        <v>65</v>
      </c>
      <c r="P39" s="31"/>
      <c r="Q39" s="32"/>
    </row>
    <row r="40" spans="1:17" ht="15" customHeight="1">
      <c r="A40" s="146" t="s">
        <v>202</v>
      </c>
      <c r="B40" s="146" t="s">
        <v>203</v>
      </c>
      <c r="C40" s="146" t="s">
        <v>204</v>
      </c>
      <c r="D40" s="146" t="s">
        <v>205</v>
      </c>
      <c r="E40" s="146" t="s">
        <v>206</v>
      </c>
      <c r="F40" s="147" t="s">
        <v>51</v>
      </c>
      <c r="G40" s="146" t="s">
        <v>2</v>
      </c>
      <c r="H40" s="146" t="s">
        <v>41</v>
      </c>
      <c r="I40" s="147" t="s">
        <v>51</v>
      </c>
      <c r="J40" s="146" t="s">
        <v>2</v>
      </c>
      <c r="K40" s="148" t="s">
        <v>41</v>
      </c>
      <c r="L40" s="148"/>
      <c r="M40" s="146"/>
      <c r="N40" s="146"/>
      <c r="O40" s="146" t="s">
        <v>65</v>
      </c>
      <c r="P40" s="31"/>
      <c r="Q40" s="32"/>
    </row>
    <row r="41" spans="1:17" ht="15" customHeight="1">
      <c r="A41" s="146" t="s">
        <v>207</v>
      </c>
      <c r="B41" s="146" t="s">
        <v>208</v>
      </c>
      <c r="C41" s="146" t="s">
        <v>209</v>
      </c>
      <c r="D41" s="146" t="s">
        <v>210</v>
      </c>
      <c r="E41" s="146" t="s">
        <v>211</v>
      </c>
      <c r="F41" s="147" t="s">
        <v>51</v>
      </c>
      <c r="G41" s="146" t="s">
        <v>2</v>
      </c>
      <c r="H41" s="146" t="s">
        <v>41</v>
      </c>
      <c r="I41" s="147" t="s">
        <v>51</v>
      </c>
      <c r="J41" s="146" t="s">
        <v>2</v>
      </c>
      <c r="K41" s="148" t="s">
        <v>41</v>
      </c>
      <c r="L41" s="148"/>
      <c r="M41" s="146"/>
      <c r="N41" s="146"/>
      <c r="O41" s="146" t="s">
        <v>65</v>
      </c>
      <c r="P41" s="31"/>
      <c r="Q41" s="32"/>
    </row>
    <row r="42" spans="1:17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</row>
  </sheetData>
  <mergeCells count="20">
    <mergeCell ref="K37:L37"/>
    <mergeCell ref="K38:L38"/>
    <mergeCell ref="K39:L39"/>
    <mergeCell ref="K40:L40"/>
    <mergeCell ref="K41:L41"/>
    <mergeCell ref="K32:L32"/>
    <mergeCell ref="K33:L33"/>
    <mergeCell ref="K34:L34"/>
    <mergeCell ref="K35:L35"/>
    <mergeCell ref="K36:L36"/>
    <mergeCell ref="K27:L27"/>
    <mergeCell ref="K28:L28"/>
    <mergeCell ref="K29:L29"/>
    <mergeCell ref="K30:L30"/>
    <mergeCell ref="K31:L31"/>
    <mergeCell ref="B3:E3"/>
    <mergeCell ref="B2:E2"/>
    <mergeCell ref="B4:E4"/>
    <mergeCell ref="K25:L25"/>
    <mergeCell ref="K26:L26"/>
  </mergeCells>
  <dataValidations count="2">
    <dataValidation allowBlank="1" showErrorMessage="1" sqref="F10 I10 L10" xr:uid="{00000000-0002-0000-0300-000000000000}"/>
    <dataValidation type="list" allowBlank="1" showErrorMessage="1" sqref="F12:F19 G2:G3 G9 G20:G147 I12:I19 J2:J3 J9 J20:J147 L12:L19 M2:M3 M9 M20:M147" xr:uid="{00000000-0002-0000-0300-000001000000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E23" sqref="E23"/>
    </sheetView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8" customWidth="1"/>
    <col min="18" max="18" width="7.6640625" style="1" hidden="1" customWidth="1"/>
    <col min="19" max="19" width="9" style="1" customWidth="1"/>
    <col min="20" max="16384" width="9" style="1"/>
  </cols>
  <sheetData>
    <row r="1" spans="1:18" ht="13.8" customHeight="1" thickBot="1">
      <c r="B1" s="1" t="s">
        <v>29</v>
      </c>
    </row>
    <row r="2" spans="1:18" s="30" customFormat="1" ht="15" customHeight="1">
      <c r="A2" s="92" t="s">
        <v>49</v>
      </c>
      <c r="B2" s="143" t="s">
        <v>30</v>
      </c>
      <c r="C2" s="144"/>
      <c r="D2" s="144"/>
      <c r="E2" s="145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51</v>
      </c>
    </row>
    <row r="3" spans="1:18" s="30" customFormat="1" ht="26.4" customHeight="1">
      <c r="A3" s="93" t="s">
        <v>52</v>
      </c>
      <c r="B3" s="140">
        <v>11</v>
      </c>
      <c r="C3" s="141"/>
      <c r="D3" s="141"/>
      <c r="E3" s="142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53</v>
      </c>
    </row>
    <row r="4" spans="1:18" s="30" customFormat="1" ht="18" customHeight="1">
      <c r="A4" s="93" t="s">
        <v>54</v>
      </c>
      <c r="B4" s="140">
        <f>COUNTA(A12:A1000)</f>
        <v>8</v>
      </c>
      <c r="C4" s="141"/>
      <c r="D4" s="141"/>
      <c r="E4" s="142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55</v>
      </c>
    </row>
    <row r="5" spans="1:18" s="30" customFormat="1" ht="19.5" customHeight="1">
      <c r="A5" s="86" t="s">
        <v>56</v>
      </c>
      <c r="B5" s="84">
        <v>11</v>
      </c>
      <c r="C5" s="84">
        <v>0</v>
      </c>
      <c r="D5" s="84">
        <v>0</v>
      </c>
      <c r="E5" s="87">
        <v>0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57</v>
      </c>
    </row>
    <row r="6" spans="1:18" s="30" customFormat="1" ht="15" customHeight="1">
      <c r="A6" s="86" t="s">
        <v>58</v>
      </c>
      <c r="B6" s="85">
        <v>11</v>
      </c>
      <c r="C6" s="85">
        <v>0</v>
      </c>
      <c r="D6" s="85">
        <v>0</v>
      </c>
      <c r="E6" s="91"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/>
      <c r="B7" s="85"/>
      <c r="C7" s="85"/>
      <c r="D7" s="85"/>
      <c r="E7" s="91"/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59</v>
      </c>
      <c r="B8" s="89">
        <f>COUNTIF($F10:$F998,B5)</f>
        <v>0</v>
      </c>
      <c r="C8" s="89">
        <f>COUNTIF($F10:$F998,C5)</f>
        <v>0</v>
      </c>
      <c r="D8" s="89">
        <f>COUNTIF($F10:$F998,D5)</f>
        <v>0</v>
      </c>
      <c r="E8" s="90">
        <f>COUNTIF($F10:$F998,E5)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 t="s">
        <v>212</v>
      </c>
      <c r="B9" s="31" t="s">
        <v>213</v>
      </c>
      <c r="C9" s="31" t="s">
        <v>214</v>
      </c>
      <c r="D9" s="31" t="s">
        <v>215</v>
      </c>
      <c r="E9" s="31" t="s">
        <v>216</v>
      </c>
      <c r="F9" s="33" t="s">
        <v>51</v>
      </c>
      <c r="G9" s="31" t="s">
        <v>2</v>
      </c>
      <c r="H9" s="31" t="s">
        <v>41</v>
      </c>
      <c r="I9" s="33" t="s">
        <v>51</v>
      </c>
      <c r="J9" s="31" t="s">
        <v>2</v>
      </c>
      <c r="K9" s="31" t="s">
        <v>41</v>
      </c>
      <c r="L9" s="33"/>
      <c r="M9" s="31"/>
      <c r="N9" s="31"/>
      <c r="O9" s="31" t="s">
        <v>65</v>
      </c>
      <c r="P9" s="31"/>
      <c r="Q9" s="32"/>
    </row>
    <row r="10" spans="1:18" s="30" customFormat="1" ht="25.5" customHeight="1">
      <c r="A10" s="83" t="s">
        <v>217</v>
      </c>
      <c r="B10" s="83" t="s">
        <v>218</v>
      </c>
      <c r="C10" s="83" t="s">
        <v>219</v>
      </c>
      <c r="D10" s="83" t="s">
        <v>220</v>
      </c>
      <c r="E10" s="83" t="s">
        <v>221</v>
      </c>
      <c r="F10" s="83" t="s">
        <v>51</v>
      </c>
      <c r="G10" s="83" t="s">
        <v>2</v>
      </c>
      <c r="H10" s="83" t="s">
        <v>41</v>
      </c>
      <c r="I10" s="83" t="s">
        <v>51</v>
      </c>
      <c r="J10" s="83" t="s">
        <v>2</v>
      </c>
      <c r="K10" s="83" t="s">
        <v>41</v>
      </c>
      <c r="L10" s="83"/>
      <c r="M10" s="83"/>
      <c r="N10" s="83"/>
      <c r="O10" s="83" t="s">
        <v>65</v>
      </c>
      <c r="Q10" s="34"/>
    </row>
    <row r="11" spans="1:18" s="30" customFormat="1" ht="15.75" customHeight="1">
      <c r="A11" s="79" t="s">
        <v>222</v>
      </c>
      <c r="B11" s="79" t="s">
        <v>223</v>
      </c>
      <c r="C11" s="80" t="s">
        <v>224</v>
      </c>
      <c r="D11" s="80" t="s">
        <v>225</v>
      </c>
      <c r="E11" s="80" t="s">
        <v>226</v>
      </c>
      <c r="F11" s="80" t="s">
        <v>51</v>
      </c>
      <c r="G11" s="80" t="s">
        <v>2</v>
      </c>
      <c r="H11" s="80" t="s">
        <v>41</v>
      </c>
      <c r="I11" s="80" t="s">
        <v>51</v>
      </c>
      <c r="J11" s="80" t="s">
        <v>2</v>
      </c>
      <c r="K11" s="80" t="s">
        <v>41</v>
      </c>
      <c r="L11" s="80"/>
      <c r="M11" s="80"/>
      <c r="N11" s="80"/>
      <c r="O11" s="81" t="s">
        <v>65</v>
      </c>
      <c r="Q11" s="38"/>
    </row>
    <row r="12" spans="1:18" s="44" customFormat="1" ht="121.05" customHeight="1" outlineLevel="1">
      <c r="A12" s="39" t="s">
        <v>227</v>
      </c>
      <c r="B12" s="40" t="s">
        <v>228</v>
      </c>
      <c r="C12" s="40" t="s">
        <v>229</v>
      </c>
      <c r="D12" s="41" t="s">
        <v>230</v>
      </c>
      <c r="E12" s="41" t="s">
        <v>109</v>
      </c>
      <c r="F12" s="39" t="s">
        <v>51</v>
      </c>
      <c r="G12" s="39" t="s">
        <v>2</v>
      </c>
      <c r="H12" s="39" t="s">
        <v>41</v>
      </c>
      <c r="I12" s="39" t="s">
        <v>51</v>
      </c>
      <c r="J12" s="39" t="s">
        <v>2</v>
      </c>
      <c r="K12" s="39" t="s">
        <v>41</v>
      </c>
      <c r="L12" s="39"/>
      <c r="M12" s="39"/>
      <c r="N12" s="39"/>
      <c r="O12" s="42" t="s">
        <v>65</v>
      </c>
      <c r="Q12" s="43"/>
    </row>
    <row r="13" spans="1:18" ht="39.6" customHeight="1" outlineLevel="1">
      <c r="A13" s="39" t="s">
        <v>231</v>
      </c>
      <c r="B13" s="39" t="s">
        <v>232</v>
      </c>
      <c r="C13" s="39" t="s">
        <v>233</v>
      </c>
      <c r="D13" s="45" t="s">
        <v>234</v>
      </c>
      <c r="E13" s="45" t="s">
        <v>235</v>
      </c>
      <c r="F13" s="39" t="s">
        <v>51</v>
      </c>
      <c r="G13" s="39" t="s">
        <v>2</v>
      </c>
      <c r="H13" s="39" t="s">
        <v>41</v>
      </c>
      <c r="I13" s="39" t="s">
        <v>51</v>
      </c>
      <c r="J13" s="39" t="s">
        <v>2</v>
      </c>
      <c r="K13" s="39" t="s">
        <v>41</v>
      </c>
      <c r="L13" s="39"/>
      <c r="M13" s="39"/>
      <c r="N13" s="39"/>
      <c r="O13" s="42" t="s">
        <v>65</v>
      </c>
      <c r="Q13" s="43"/>
    </row>
    <row r="14" spans="1:18" ht="39.6" customHeight="1" outlineLevel="1">
      <c r="A14" s="39" t="s">
        <v>236</v>
      </c>
      <c r="B14" s="39" t="s">
        <v>237</v>
      </c>
      <c r="C14" s="39" t="s">
        <v>238</v>
      </c>
      <c r="D14" s="45" t="s">
        <v>239</v>
      </c>
      <c r="E14" s="45" t="s">
        <v>240</v>
      </c>
      <c r="F14" s="39" t="s">
        <v>51</v>
      </c>
      <c r="G14" s="39" t="s">
        <v>2</v>
      </c>
      <c r="H14" s="39" t="s">
        <v>41</v>
      </c>
      <c r="I14" s="39" t="s">
        <v>51</v>
      </c>
      <c r="J14" s="39" t="s">
        <v>2</v>
      </c>
      <c r="K14" s="39" t="s">
        <v>41</v>
      </c>
      <c r="L14" s="39"/>
      <c r="M14" s="39"/>
      <c r="N14" s="39"/>
      <c r="O14" s="42" t="s">
        <v>65</v>
      </c>
      <c r="Q14" s="43"/>
    </row>
    <row r="15" spans="1:18" s="30" customFormat="1" ht="15.75" customHeight="1">
      <c r="A15" s="79" t="s">
        <v>241</v>
      </c>
      <c r="B15" s="35" t="s">
        <v>242</v>
      </c>
      <c r="C15" s="36" t="s">
        <v>243</v>
      </c>
      <c r="D15" s="36" t="s">
        <v>244</v>
      </c>
      <c r="E15" s="36" t="s">
        <v>245</v>
      </c>
      <c r="F15" s="36" t="s">
        <v>51</v>
      </c>
      <c r="G15" s="36" t="s">
        <v>2</v>
      </c>
      <c r="H15" s="36" t="s">
        <v>41</v>
      </c>
      <c r="I15" s="36" t="s">
        <v>51</v>
      </c>
      <c r="J15" s="36" t="s">
        <v>2</v>
      </c>
      <c r="K15" s="36" t="s">
        <v>41</v>
      </c>
      <c r="L15" s="36"/>
      <c r="M15" s="36"/>
      <c r="N15" s="36"/>
      <c r="O15" s="37" t="s">
        <v>65</v>
      </c>
      <c r="Q15" s="38"/>
    </row>
    <row r="16" spans="1:18" ht="39.6" customHeight="1" outlineLevel="1">
      <c r="A16" s="39" t="s">
        <v>246</v>
      </c>
      <c r="B16" s="39" t="s">
        <v>247</v>
      </c>
      <c r="C16" s="39" t="s">
        <v>248</v>
      </c>
      <c r="D16" s="39" t="s">
        <v>244</v>
      </c>
      <c r="E16" s="39" t="s">
        <v>249</v>
      </c>
      <c r="F16" s="39" t="s">
        <v>51</v>
      </c>
      <c r="G16" s="39" t="s">
        <v>2</v>
      </c>
      <c r="H16" s="39" t="s">
        <v>41</v>
      </c>
      <c r="I16" s="39" t="s">
        <v>51</v>
      </c>
      <c r="J16" s="39" t="s">
        <v>2</v>
      </c>
      <c r="K16" s="39" t="s">
        <v>41</v>
      </c>
      <c r="L16" s="39"/>
      <c r="M16" s="39"/>
      <c r="N16" s="39"/>
      <c r="O16" s="42" t="s">
        <v>65</v>
      </c>
      <c r="Q16" s="43"/>
    </row>
    <row r="17" spans="1:17" ht="26.4" customHeight="1" outlineLevel="1">
      <c r="A17" s="39" t="s">
        <v>250</v>
      </c>
      <c r="B17" s="39" t="s">
        <v>251</v>
      </c>
      <c r="C17" s="39" t="s">
        <v>252</v>
      </c>
      <c r="D17" s="39" t="s">
        <v>245</v>
      </c>
      <c r="E17" s="39" t="s">
        <v>253</v>
      </c>
      <c r="F17" s="39" t="s">
        <v>51</v>
      </c>
      <c r="G17" s="46" t="s">
        <v>2</v>
      </c>
      <c r="H17" s="46" t="s">
        <v>41</v>
      </c>
      <c r="I17" s="39" t="s">
        <v>51</v>
      </c>
      <c r="J17" s="46" t="s">
        <v>2</v>
      </c>
      <c r="K17" s="46" t="s">
        <v>41</v>
      </c>
      <c r="L17" s="39"/>
      <c r="M17" s="46"/>
      <c r="N17" s="46"/>
      <c r="O17" s="46" t="s">
        <v>65</v>
      </c>
    </row>
    <row r="18" spans="1:17" s="30" customFormat="1" ht="15.75" customHeight="1">
      <c r="A18" s="79" t="s">
        <v>254</v>
      </c>
      <c r="B18" s="35" t="s">
        <v>255</v>
      </c>
      <c r="C18" s="36" t="s">
        <v>256</v>
      </c>
      <c r="D18" s="36" t="s">
        <v>257</v>
      </c>
      <c r="E18" s="36" t="s">
        <v>258</v>
      </c>
      <c r="F18" s="36" t="s">
        <v>51</v>
      </c>
      <c r="G18" s="36" t="s">
        <v>2</v>
      </c>
      <c r="H18" s="36" t="s">
        <v>41</v>
      </c>
      <c r="I18" s="36" t="s">
        <v>51</v>
      </c>
      <c r="J18" s="36" t="s">
        <v>2</v>
      </c>
      <c r="K18" s="36" t="s">
        <v>41</v>
      </c>
      <c r="L18" s="36"/>
      <c r="M18" s="36"/>
      <c r="N18" s="36"/>
      <c r="O18" s="37" t="s">
        <v>65</v>
      </c>
      <c r="Q18" s="38"/>
    </row>
    <row r="19" spans="1:17" ht="39.6" customHeight="1" outlineLevel="1">
      <c r="A19" s="39" t="s">
        <v>259</v>
      </c>
      <c r="B19" s="39" t="s">
        <v>260</v>
      </c>
      <c r="C19" s="39" t="s">
        <v>261</v>
      </c>
      <c r="D19" s="39" t="s">
        <v>262</v>
      </c>
      <c r="E19" s="39" t="s">
        <v>263</v>
      </c>
      <c r="F19" s="39" t="s">
        <v>51</v>
      </c>
      <c r="G19" s="39" t="s">
        <v>2</v>
      </c>
      <c r="H19" s="39" t="s">
        <v>41</v>
      </c>
      <c r="I19" s="39" t="s">
        <v>51</v>
      </c>
      <c r="J19" s="39" t="s">
        <v>2</v>
      </c>
      <c r="K19" s="39" t="s">
        <v>41</v>
      </c>
      <c r="L19" s="39"/>
      <c r="M19" s="39"/>
      <c r="N19" s="39"/>
      <c r="O19" s="42" t="s">
        <v>65</v>
      </c>
      <c r="Q19" s="43"/>
    </row>
  </sheetData>
  <mergeCells count="3">
    <mergeCell ref="B3:E3"/>
    <mergeCell ref="B2:E2"/>
    <mergeCell ref="B4:E4"/>
  </mergeCells>
  <dataValidations count="2">
    <dataValidation allowBlank="1" showErrorMessage="1" sqref="F10 I10 L10" xr:uid="{00000000-0002-0000-0400-000000000000}"/>
    <dataValidation type="list" allowBlank="1" showErrorMessage="1" sqref="F12:F19 G2:G3 G9 G20:G147 I12:I19 J2:J3 J9 J20:J147 L12:L19 M2:M3 M9 M20:M147" xr:uid="{00000000-0002-0000-0400-000001000000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E23" sqref="E23"/>
    </sheetView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8" customWidth="1"/>
    <col min="18" max="18" width="7.6640625" style="1" hidden="1" customWidth="1"/>
    <col min="19" max="19" width="9" style="1" customWidth="1"/>
    <col min="20" max="16384" width="9" style="1"/>
  </cols>
  <sheetData>
    <row r="1" spans="1:18" ht="13.8" customHeight="1" thickBot="1">
      <c r="B1" s="1" t="s">
        <v>31</v>
      </c>
    </row>
    <row r="2" spans="1:18" s="30" customFormat="1" ht="15" customHeight="1">
      <c r="A2" s="92" t="s">
        <v>49</v>
      </c>
      <c r="B2" s="143" t="s">
        <v>32</v>
      </c>
      <c r="C2" s="144"/>
      <c r="D2" s="144"/>
      <c r="E2" s="145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51</v>
      </c>
    </row>
    <row r="3" spans="1:18" s="30" customFormat="1" ht="26.4" customHeight="1">
      <c r="A3" s="93" t="s">
        <v>52</v>
      </c>
      <c r="B3" s="140">
        <v>6</v>
      </c>
      <c r="C3" s="141"/>
      <c r="D3" s="141"/>
      <c r="E3" s="142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53</v>
      </c>
    </row>
    <row r="4" spans="1:18" s="30" customFormat="1" ht="18" customHeight="1">
      <c r="A4" s="93" t="s">
        <v>54</v>
      </c>
      <c r="B4" s="140">
        <f>COUNTA(A12:A1000)</f>
        <v>3</v>
      </c>
      <c r="C4" s="141"/>
      <c r="D4" s="141"/>
      <c r="E4" s="142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55</v>
      </c>
    </row>
    <row r="5" spans="1:18" s="30" customFormat="1" ht="19.5" customHeight="1">
      <c r="A5" s="86" t="s">
        <v>56</v>
      </c>
      <c r="B5" s="84">
        <v>6</v>
      </c>
      <c r="C5" s="84">
        <v>0</v>
      </c>
      <c r="D5" s="84">
        <v>0</v>
      </c>
      <c r="E5" s="87">
        <v>0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57</v>
      </c>
    </row>
    <row r="6" spans="1:18" s="30" customFormat="1" ht="15" customHeight="1">
      <c r="A6" s="86" t="s">
        <v>58</v>
      </c>
      <c r="B6" s="85">
        <v>6</v>
      </c>
      <c r="C6" s="85">
        <v>0</v>
      </c>
      <c r="D6" s="85">
        <v>0</v>
      </c>
      <c r="E6" s="91"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/>
      <c r="B7" s="85"/>
      <c r="C7" s="85"/>
      <c r="D7" s="85"/>
      <c r="E7" s="91"/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59</v>
      </c>
      <c r="B8" s="89">
        <f>COUNTIF($F10:$F998,B5)</f>
        <v>0</v>
      </c>
      <c r="C8" s="89">
        <f>COUNTIF($F10:$F998,C5)</f>
        <v>0</v>
      </c>
      <c r="D8" s="89">
        <f>COUNTIF($F10:$F998,D5)</f>
        <v>0</v>
      </c>
      <c r="E8" s="90">
        <f>COUNTIF($F10:$F998,E5)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 t="s">
        <v>264</v>
      </c>
      <c r="B9" s="31" t="s">
        <v>265</v>
      </c>
      <c r="C9" s="31" t="s">
        <v>266</v>
      </c>
      <c r="D9" s="31" t="s">
        <v>267</v>
      </c>
      <c r="E9" s="31" t="s">
        <v>268</v>
      </c>
      <c r="F9" s="33" t="s">
        <v>51</v>
      </c>
      <c r="G9" s="31" t="s">
        <v>2</v>
      </c>
      <c r="H9" s="31" t="s">
        <v>41</v>
      </c>
      <c r="I9" s="33" t="s">
        <v>51</v>
      </c>
      <c r="J9" s="31" t="s">
        <v>2</v>
      </c>
      <c r="K9" s="31" t="s">
        <v>41</v>
      </c>
      <c r="L9" s="33"/>
      <c r="M9" s="31"/>
      <c r="N9" s="31"/>
      <c r="O9" s="31" t="s">
        <v>65</v>
      </c>
      <c r="P9" s="31"/>
      <c r="Q9" s="32"/>
    </row>
    <row r="10" spans="1:18" s="30" customFormat="1" ht="25.5" customHeight="1">
      <c r="A10" s="83" t="s">
        <v>269</v>
      </c>
      <c r="B10" s="83" t="s">
        <v>270</v>
      </c>
      <c r="C10" s="83" t="s">
        <v>271</v>
      </c>
      <c r="D10" s="83" t="s">
        <v>272</v>
      </c>
      <c r="E10" s="83" t="s">
        <v>273</v>
      </c>
      <c r="F10" s="83" t="s">
        <v>51</v>
      </c>
      <c r="G10" s="83" t="s">
        <v>2</v>
      </c>
      <c r="H10" s="83" t="s">
        <v>41</v>
      </c>
      <c r="I10" s="83" t="s">
        <v>51</v>
      </c>
      <c r="J10" s="83" t="s">
        <v>2</v>
      </c>
      <c r="K10" s="83" t="s">
        <v>41</v>
      </c>
      <c r="L10" s="83"/>
      <c r="M10" s="83"/>
      <c r="N10" s="83"/>
      <c r="O10" s="83" t="s">
        <v>65</v>
      </c>
      <c r="Q10" s="34"/>
    </row>
    <row r="11" spans="1:18" s="30" customFormat="1" ht="15.75" customHeight="1">
      <c r="A11" s="79" t="s">
        <v>274</v>
      </c>
      <c r="B11" s="79" t="s">
        <v>275</v>
      </c>
      <c r="C11" s="80" t="s">
        <v>276</v>
      </c>
      <c r="D11" s="80" t="s">
        <v>230</v>
      </c>
      <c r="E11" s="80" t="s">
        <v>109</v>
      </c>
      <c r="F11" s="80" t="s">
        <v>51</v>
      </c>
      <c r="G11" s="80" t="s">
        <v>2</v>
      </c>
      <c r="H11" s="80" t="s">
        <v>41</v>
      </c>
      <c r="I11" s="80" t="s">
        <v>51</v>
      </c>
      <c r="J11" s="80" t="s">
        <v>2</v>
      </c>
      <c r="K11" s="80" t="s">
        <v>41</v>
      </c>
      <c r="L11" s="80"/>
      <c r="M11" s="80"/>
      <c r="N11" s="80"/>
      <c r="O11" s="81" t="s">
        <v>65</v>
      </c>
      <c r="Q11" s="38"/>
    </row>
    <row r="12" spans="1:18" s="44" customFormat="1" ht="121.05" customHeight="1" outlineLevel="1">
      <c r="A12" s="39" t="s">
        <v>277</v>
      </c>
      <c r="B12" s="40" t="s">
        <v>278</v>
      </c>
      <c r="C12" s="40" t="s">
        <v>279</v>
      </c>
      <c r="D12" s="41" t="s">
        <v>280</v>
      </c>
      <c r="E12" s="41" t="s">
        <v>109</v>
      </c>
      <c r="F12" s="39" t="s">
        <v>51</v>
      </c>
      <c r="G12" s="39" t="s">
        <v>2</v>
      </c>
      <c r="H12" s="39" t="s">
        <v>41</v>
      </c>
      <c r="I12" s="39" t="s">
        <v>51</v>
      </c>
      <c r="J12" s="39" t="s">
        <v>2</v>
      </c>
      <c r="K12" s="39" t="s">
        <v>41</v>
      </c>
      <c r="L12" s="39"/>
      <c r="M12" s="39"/>
      <c r="N12" s="39"/>
      <c r="O12" s="42" t="s">
        <v>65</v>
      </c>
      <c r="Q12" s="43"/>
    </row>
    <row r="13" spans="1:18" ht="39.6" customHeight="1" outlineLevel="1">
      <c r="A13" s="39" t="s">
        <v>281</v>
      </c>
      <c r="B13" s="39" t="s">
        <v>282</v>
      </c>
      <c r="C13" s="39" t="s">
        <v>283</v>
      </c>
      <c r="D13" s="45" t="s">
        <v>284</v>
      </c>
      <c r="E13" s="45" t="s">
        <v>285</v>
      </c>
      <c r="F13" s="39" t="s">
        <v>51</v>
      </c>
      <c r="G13" s="39" t="s">
        <v>2</v>
      </c>
      <c r="H13" s="39" t="s">
        <v>41</v>
      </c>
      <c r="I13" s="39" t="s">
        <v>51</v>
      </c>
      <c r="J13" s="39" t="s">
        <v>2</v>
      </c>
      <c r="K13" s="39" t="s">
        <v>41</v>
      </c>
      <c r="L13" s="39"/>
      <c r="M13" s="39"/>
      <c r="N13" s="39"/>
      <c r="O13" s="42" t="s">
        <v>65</v>
      </c>
      <c r="Q13" s="43"/>
    </row>
    <row r="14" spans="1:18" ht="39.6" customHeight="1" outlineLevel="1">
      <c r="A14" s="39" t="s">
        <v>286</v>
      </c>
      <c r="B14" s="39" t="s">
        <v>287</v>
      </c>
      <c r="C14" s="39" t="s">
        <v>288</v>
      </c>
      <c r="D14" s="45" t="s">
        <v>289</v>
      </c>
      <c r="E14" s="45" t="s">
        <v>290</v>
      </c>
      <c r="F14" s="39" t="s">
        <v>51</v>
      </c>
      <c r="G14" s="39" t="s">
        <v>2</v>
      </c>
      <c r="H14" s="39" t="s">
        <v>41</v>
      </c>
      <c r="I14" s="39" t="s">
        <v>51</v>
      </c>
      <c r="J14" s="39" t="s">
        <v>2</v>
      </c>
      <c r="K14" s="39" t="s">
        <v>41</v>
      </c>
      <c r="L14" s="39"/>
      <c r="M14" s="39"/>
      <c r="N14" s="39"/>
      <c r="O14" s="42" t="s">
        <v>65</v>
      </c>
      <c r="Q14" s="43"/>
    </row>
    <row r="15" spans="1:18" s="30" customFormat="1" ht="15.75" customHeight="1">
      <c r="A15" s="79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Q15" s="38"/>
    </row>
    <row r="16" spans="1:18" outlineLevel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42"/>
      <c r="Q16" s="43"/>
    </row>
    <row r="17" spans="1:17" outlineLevel="1">
      <c r="A17" s="39"/>
      <c r="B17" s="39"/>
      <c r="C17" s="39"/>
      <c r="D17" s="39"/>
      <c r="E17" s="39"/>
      <c r="F17" s="39"/>
      <c r="G17" s="46"/>
      <c r="H17" s="46"/>
      <c r="I17" s="39"/>
      <c r="J17" s="46"/>
      <c r="K17" s="46"/>
      <c r="L17" s="39"/>
      <c r="M17" s="46"/>
      <c r="N17" s="46"/>
      <c r="O17" s="46"/>
    </row>
    <row r="18" spans="1:17" s="30" customFormat="1" ht="15.75" customHeight="1">
      <c r="A18" s="79"/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Q18" s="38"/>
    </row>
    <row r="19" spans="1:17" outlineLevel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42"/>
      <c r="Q19" s="43"/>
    </row>
  </sheetData>
  <mergeCells count="3">
    <mergeCell ref="B3:E3"/>
    <mergeCell ref="B2:E2"/>
    <mergeCell ref="B4:E4"/>
  </mergeCells>
  <dataValidations count="2">
    <dataValidation allowBlank="1" showErrorMessage="1" sqref="F10 I10 L10" xr:uid="{00000000-0002-0000-0500-000000000000}"/>
    <dataValidation type="list" allowBlank="1" showErrorMessage="1" sqref="F12:F19 G2:G3 G9 G20:G147 I12:I19 J2:J3 J9 J20:J147 L12:L19 M2:M3 M9 M20:M147" xr:uid="{00000000-0002-0000-0500-000001000000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E23" sqref="E23"/>
    </sheetView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8" customWidth="1"/>
    <col min="18" max="18" width="7.6640625" style="1" hidden="1" customWidth="1"/>
    <col min="19" max="19" width="9" style="1" customWidth="1"/>
    <col min="20" max="16384" width="9" style="1"/>
  </cols>
  <sheetData>
    <row r="1" spans="1:18" ht="13.8" customHeight="1" thickBot="1">
      <c r="B1" s="1" t="s">
        <v>33</v>
      </c>
    </row>
    <row r="2" spans="1:18" s="30" customFormat="1" ht="15" customHeight="1">
      <c r="A2" s="92" t="s">
        <v>49</v>
      </c>
      <c r="B2" s="143" t="s">
        <v>34</v>
      </c>
      <c r="C2" s="144"/>
      <c r="D2" s="144"/>
      <c r="E2" s="145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51</v>
      </c>
    </row>
    <row r="3" spans="1:18" s="30" customFormat="1" ht="26.4" customHeight="1">
      <c r="A3" s="93" t="s">
        <v>52</v>
      </c>
      <c r="B3" s="140">
        <v>2</v>
      </c>
      <c r="C3" s="141"/>
      <c r="D3" s="141"/>
      <c r="E3" s="142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53</v>
      </c>
    </row>
    <row r="4" spans="1:18" s="30" customFormat="1" ht="18" customHeight="1">
      <c r="A4" s="93" t="s">
        <v>54</v>
      </c>
      <c r="B4" s="140">
        <f>COUNTA(A12:A1000)</f>
        <v>0</v>
      </c>
      <c r="C4" s="141"/>
      <c r="D4" s="141"/>
      <c r="E4" s="142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55</v>
      </c>
    </row>
    <row r="5" spans="1:18" s="30" customFormat="1" ht="19.5" customHeight="1">
      <c r="A5" s="86" t="s">
        <v>56</v>
      </c>
      <c r="B5" s="84">
        <v>2</v>
      </c>
      <c r="C5" s="84">
        <v>0</v>
      </c>
      <c r="D5" s="84">
        <v>0</v>
      </c>
      <c r="E5" s="87">
        <v>0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57</v>
      </c>
    </row>
    <row r="6" spans="1:18" s="30" customFormat="1" ht="15" customHeight="1">
      <c r="A6" s="86" t="s">
        <v>58</v>
      </c>
      <c r="B6" s="85">
        <v>2</v>
      </c>
      <c r="C6" s="85">
        <v>0</v>
      </c>
      <c r="D6" s="85">
        <v>0</v>
      </c>
      <c r="E6" s="91"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/>
      <c r="B7" s="85"/>
      <c r="C7" s="85"/>
      <c r="D7" s="85"/>
      <c r="E7" s="91"/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59</v>
      </c>
      <c r="B8" s="89">
        <f>COUNTIF($F10:$F998,B5)</f>
        <v>0</v>
      </c>
      <c r="C8" s="89">
        <f>COUNTIF($F10:$F998,C5)</f>
        <v>0</v>
      </c>
      <c r="D8" s="89">
        <f>COUNTIF($F10:$F998,D5)</f>
        <v>0</v>
      </c>
      <c r="E8" s="90">
        <f>COUNTIF($F10:$F998,E5)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 t="s">
        <v>291</v>
      </c>
      <c r="B9" s="31" t="s">
        <v>292</v>
      </c>
      <c r="C9" s="31" t="s">
        <v>293</v>
      </c>
      <c r="D9" s="31" t="s">
        <v>294</v>
      </c>
      <c r="E9" s="31" t="s">
        <v>295</v>
      </c>
      <c r="F9" s="33" t="s">
        <v>51</v>
      </c>
      <c r="G9" s="31" t="s">
        <v>2</v>
      </c>
      <c r="H9" s="31" t="s">
        <v>41</v>
      </c>
      <c r="I9" s="33" t="s">
        <v>51</v>
      </c>
      <c r="J9" s="31" t="s">
        <v>2</v>
      </c>
      <c r="K9" s="31" t="s">
        <v>41</v>
      </c>
      <c r="L9" s="33"/>
      <c r="M9" s="31"/>
      <c r="N9" s="31"/>
      <c r="O9" s="31" t="s">
        <v>65</v>
      </c>
      <c r="P9" s="31"/>
      <c r="Q9" s="32"/>
    </row>
    <row r="10" spans="1:18" s="30" customFormat="1" ht="25.5" customHeight="1">
      <c r="A10" s="83" t="s">
        <v>296</v>
      </c>
      <c r="B10" s="83" t="s">
        <v>297</v>
      </c>
      <c r="C10" s="83" t="s">
        <v>298</v>
      </c>
      <c r="D10" s="83" t="s">
        <v>299</v>
      </c>
      <c r="E10" s="83" t="s">
        <v>300</v>
      </c>
      <c r="F10" s="83" t="s">
        <v>51</v>
      </c>
      <c r="G10" s="83" t="s">
        <v>2</v>
      </c>
      <c r="H10" s="83" t="s">
        <v>41</v>
      </c>
      <c r="I10" s="83" t="s">
        <v>51</v>
      </c>
      <c r="J10" s="83" t="s">
        <v>2</v>
      </c>
      <c r="K10" s="83" t="s">
        <v>41</v>
      </c>
      <c r="L10" s="83"/>
      <c r="M10" s="83"/>
      <c r="N10" s="83"/>
      <c r="O10" s="83" t="s">
        <v>65</v>
      </c>
      <c r="Q10" s="34"/>
    </row>
    <row r="11" spans="1:18" s="30" customFormat="1" ht="15.75" customHeight="1">
      <c r="A11" s="79"/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  <c r="Q11" s="38"/>
    </row>
    <row r="12" spans="1:18" s="44" customFormat="1" ht="121.05" customHeight="1" outlineLevel="1">
      <c r="A12" s="39"/>
      <c r="B12" s="40"/>
      <c r="C12" s="40"/>
      <c r="D12" s="41"/>
      <c r="E12" s="41"/>
      <c r="F12" s="39"/>
      <c r="G12" s="39"/>
      <c r="H12" s="39"/>
      <c r="I12" s="39"/>
      <c r="J12" s="39"/>
      <c r="K12" s="39"/>
      <c r="L12" s="39"/>
      <c r="M12" s="39"/>
      <c r="N12" s="39"/>
      <c r="O12" s="42"/>
      <c r="Q12" s="43"/>
    </row>
    <row r="13" spans="1:18" outlineLevel="1">
      <c r="A13" s="39"/>
      <c r="B13" s="39"/>
      <c r="C13" s="39"/>
      <c r="D13" s="45"/>
      <c r="E13" s="45"/>
      <c r="F13" s="39"/>
      <c r="G13" s="39"/>
      <c r="H13" s="39"/>
      <c r="I13" s="39"/>
      <c r="J13" s="39"/>
      <c r="K13" s="39"/>
      <c r="L13" s="39"/>
      <c r="M13" s="39"/>
      <c r="N13" s="39"/>
      <c r="O13" s="42"/>
      <c r="Q13" s="43"/>
    </row>
    <row r="14" spans="1:18" outlineLevel="1">
      <c r="A14" s="39"/>
      <c r="B14" s="39"/>
      <c r="C14" s="39"/>
      <c r="D14" s="45"/>
      <c r="E14" s="45"/>
      <c r="F14" s="39"/>
      <c r="G14" s="39"/>
      <c r="H14" s="39"/>
      <c r="I14" s="39"/>
      <c r="J14" s="39"/>
      <c r="K14" s="39"/>
      <c r="L14" s="39"/>
      <c r="M14" s="39"/>
      <c r="N14" s="39"/>
      <c r="O14" s="42"/>
      <c r="Q14" s="43"/>
    </row>
    <row r="15" spans="1:18" s="30" customFormat="1" ht="15.75" customHeight="1">
      <c r="A15" s="79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Q15" s="38"/>
    </row>
    <row r="16" spans="1:18" outlineLevel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42"/>
      <c r="Q16" s="43"/>
    </row>
    <row r="17" spans="1:17" outlineLevel="1">
      <c r="A17" s="39"/>
      <c r="B17" s="39"/>
      <c r="C17" s="39"/>
      <c r="D17" s="39"/>
      <c r="E17" s="39"/>
      <c r="F17" s="39"/>
      <c r="G17" s="46"/>
      <c r="H17" s="46"/>
      <c r="I17" s="39"/>
      <c r="J17" s="46"/>
      <c r="K17" s="46"/>
      <c r="L17" s="39"/>
      <c r="M17" s="46"/>
      <c r="N17" s="46"/>
      <c r="O17" s="46"/>
    </row>
    <row r="18" spans="1:17" s="30" customFormat="1" ht="15.75" customHeight="1">
      <c r="A18" s="79"/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Q18" s="38"/>
    </row>
    <row r="19" spans="1:17" outlineLevel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42"/>
      <c r="Q19" s="43"/>
    </row>
  </sheetData>
  <mergeCells count="3">
    <mergeCell ref="B3:E3"/>
    <mergeCell ref="B2:E2"/>
    <mergeCell ref="B4:E4"/>
  </mergeCells>
  <dataValidations count="2">
    <dataValidation allowBlank="1" showErrorMessage="1" sqref="F10 I10 L10" xr:uid="{00000000-0002-0000-0600-000000000000}"/>
    <dataValidation type="list" allowBlank="1" showErrorMessage="1" sqref="F12:F19 G2:G3 G9 G20:G147 I12:I19 J2:J3 J9 J20:J147 L12:L19 M2:M3 M9 M20:M147" xr:uid="{00000000-0002-0000-0600-000001000000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R23"/>
  <sheetViews>
    <sheetView zoomScale="85" zoomScaleNormal="85" workbookViewId="0">
      <pane ySplit="10" topLeftCell="A11" activePane="bottomLeft" state="frozen"/>
      <selection pane="bottomLeft" activeCell="E23" sqref="E23"/>
    </sheetView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8" customWidth="1"/>
    <col min="18" max="18" width="7.6640625" style="1" hidden="1" customWidth="1"/>
    <col min="19" max="19" width="9" style="1" customWidth="1"/>
    <col min="20" max="16384" width="9" style="1"/>
  </cols>
  <sheetData>
    <row r="1" spans="1:18" ht="13.8" customHeight="1" thickBot="1">
      <c r="B1" s="1" t="s">
        <v>35</v>
      </c>
    </row>
    <row r="2" spans="1:18" s="30" customFormat="1" ht="15" customHeight="1">
      <c r="A2" s="92" t="s">
        <v>49</v>
      </c>
      <c r="B2" s="143" t="s">
        <v>36</v>
      </c>
      <c r="C2" s="144"/>
      <c r="D2" s="144"/>
      <c r="E2" s="145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51</v>
      </c>
    </row>
    <row r="3" spans="1:18" s="30" customFormat="1" ht="26.4" customHeight="1">
      <c r="A3" s="93" t="s">
        <v>52</v>
      </c>
      <c r="B3" s="140">
        <v>15</v>
      </c>
      <c r="C3" s="141"/>
      <c r="D3" s="141"/>
      <c r="E3" s="142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53</v>
      </c>
    </row>
    <row r="4" spans="1:18" s="30" customFormat="1" ht="18" customHeight="1">
      <c r="A4" s="93" t="s">
        <v>54</v>
      </c>
      <c r="B4" s="140">
        <f>COUNTA(A12:A1000)</f>
        <v>12</v>
      </c>
      <c r="C4" s="141"/>
      <c r="D4" s="141"/>
      <c r="E4" s="142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55</v>
      </c>
    </row>
    <row r="5" spans="1:18" s="30" customFormat="1" ht="19.5" customHeight="1">
      <c r="A5" s="86" t="s">
        <v>56</v>
      </c>
      <c r="B5" s="84">
        <v>15</v>
      </c>
      <c r="C5" s="84">
        <v>0</v>
      </c>
      <c r="D5" s="84">
        <v>0</v>
      </c>
      <c r="E5" s="87">
        <v>0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57</v>
      </c>
    </row>
    <row r="6" spans="1:18" s="30" customFormat="1" ht="15" customHeight="1">
      <c r="A6" s="86" t="s">
        <v>58</v>
      </c>
      <c r="B6" s="85">
        <v>15</v>
      </c>
      <c r="C6" s="85">
        <v>0</v>
      </c>
      <c r="D6" s="85">
        <v>0</v>
      </c>
      <c r="E6" s="91"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/>
      <c r="B7" s="85"/>
      <c r="C7" s="85"/>
      <c r="D7" s="85"/>
      <c r="E7" s="91"/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59</v>
      </c>
      <c r="B8" s="89">
        <f>COUNTIF($F10:$F998,B5)</f>
        <v>0</v>
      </c>
      <c r="C8" s="89">
        <f>COUNTIF($F10:$F998,C5)</f>
        <v>0</v>
      </c>
      <c r="D8" s="89">
        <f>COUNTIF($F10:$F998,D5)</f>
        <v>0</v>
      </c>
      <c r="E8" s="90">
        <f>COUNTIF($F10:$F998,E5)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 t="s">
        <v>301</v>
      </c>
      <c r="B9" s="31" t="s">
        <v>302</v>
      </c>
      <c r="C9" s="31" t="s">
        <v>303</v>
      </c>
      <c r="D9" s="31" t="s">
        <v>304</v>
      </c>
      <c r="E9" s="31" t="s">
        <v>305</v>
      </c>
      <c r="F9" s="33" t="s">
        <v>51</v>
      </c>
      <c r="G9" s="31" t="s">
        <v>2</v>
      </c>
      <c r="H9" s="31" t="s">
        <v>41</v>
      </c>
      <c r="I9" s="33" t="s">
        <v>51</v>
      </c>
      <c r="J9" s="31" t="s">
        <v>2</v>
      </c>
      <c r="K9" s="31" t="s">
        <v>41</v>
      </c>
      <c r="L9" s="33"/>
      <c r="M9" s="31"/>
      <c r="N9" s="31"/>
      <c r="O9" s="31" t="s">
        <v>65</v>
      </c>
      <c r="P9" s="31"/>
      <c r="Q9" s="32"/>
    </row>
    <row r="10" spans="1:18" s="30" customFormat="1" ht="25.5" customHeight="1">
      <c r="A10" s="83" t="s">
        <v>306</v>
      </c>
      <c r="B10" s="83" t="s">
        <v>307</v>
      </c>
      <c r="C10" s="83" t="s">
        <v>308</v>
      </c>
      <c r="D10" s="83" t="s">
        <v>309</v>
      </c>
      <c r="E10" s="83" t="s">
        <v>305</v>
      </c>
      <c r="F10" s="83" t="s">
        <v>51</v>
      </c>
      <c r="G10" s="83" t="s">
        <v>2</v>
      </c>
      <c r="H10" s="83" t="s">
        <v>41</v>
      </c>
      <c r="I10" s="83" t="s">
        <v>51</v>
      </c>
      <c r="J10" s="83" t="s">
        <v>2</v>
      </c>
      <c r="K10" s="83" t="s">
        <v>41</v>
      </c>
      <c r="L10" s="83"/>
      <c r="M10" s="83"/>
      <c r="N10" s="83"/>
      <c r="O10" s="83" t="s">
        <v>65</v>
      </c>
      <c r="Q10" s="34"/>
    </row>
    <row r="11" spans="1:18" s="30" customFormat="1" ht="15.75" customHeight="1">
      <c r="A11" s="79" t="s">
        <v>310</v>
      </c>
      <c r="B11" s="79" t="s">
        <v>311</v>
      </c>
      <c r="C11" s="80" t="s">
        <v>312</v>
      </c>
      <c r="D11" s="80" t="s">
        <v>313</v>
      </c>
      <c r="E11" s="80" t="s">
        <v>314</v>
      </c>
      <c r="F11" s="80" t="s">
        <v>51</v>
      </c>
      <c r="G11" s="80" t="s">
        <v>2</v>
      </c>
      <c r="H11" s="80" t="s">
        <v>41</v>
      </c>
      <c r="I11" s="80" t="s">
        <v>51</v>
      </c>
      <c r="J11" s="80" t="s">
        <v>2</v>
      </c>
      <c r="K11" s="80" t="s">
        <v>41</v>
      </c>
      <c r="L11" s="80"/>
      <c r="M11" s="80"/>
      <c r="N11" s="80"/>
      <c r="O11" s="81" t="s">
        <v>65</v>
      </c>
      <c r="Q11" s="38"/>
    </row>
    <row r="12" spans="1:18" s="44" customFormat="1" ht="121.05" customHeight="1" outlineLevel="1">
      <c r="A12" s="39" t="s">
        <v>315</v>
      </c>
      <c r="B12" s="40" t="s">
        <v>316</v>
      </c>
      <c r="C12" s="40" t="s">
        <v>317</v>
      </c>
      <c r="D12" s="41" t="s">
        <v>313</v>
      </c>
      <c r="E12" s="41" t="s">
        <v>318</v>
      </c>
      <c r="F12" s="39" t="s">
        <v>51</v>
      </c>
      <c r="G12" s="39" t="s">
        <v>2</v>
      </c>
      <c r="H12" s="39" t="s">
        <v>41</v>
      </c>
      <c r="I12" s="39" t="s">
        <v>51</v>
      </c>
      <c r="J12" s="39" t="s">
        <v>2</v>
      </c>
      <c r="K12" s="39" t="s">
        <v>41</v>
      </c>
      <c r="L12" s="39"/>
      <c r="M12" s="39"/>
      <c r="N12" s="39"/>
      <c r="O12" s="42" t="s">
        <v>65</v>
      </c>
      <c r="Q12" s="43"/>
    </row>
    <row r="13" spans="1:18" ht="39.6" customHeight="1" outlineLevel="1">
      <c r="A13" s="39" t="s">
        <v>319</v>
      </c>
      <c r="B13" s="39" t="s">
        <v>320</v>
      </c>
      <c r="C13" s="39" t="s">
        <v>321</v>
      </c>
      <c r="D13" s="45" t="s">
        <v>313</v>
      </c>
      <c r="E13" s="45" t="s">
        <v>322</v>
      </c>
      <c r="F13" s="39" t="s">
        <v>51</v>
      </c>
      <c r="G13" s="39" t="s">
        <v>2</v>
      </c>
      <c r="H13" s="39" t="s">
        <v>41</v>
      </c>
      <c r="I13" s="39" t="s">
        <v>51</v>
      </c>
      <c r="J13" s="39" t="s">
        <v>2</v>
      </c>
      <c r="K13" s="39" t="s">
        <v>41</v>
      </c>
      <c r="L13" s="39"/>
      <c r="M13" s="39"/>
      <c r="N13" s="39"/>
      <c r="O13" s="42" t="s">
        <v>65</v>
      </c>
      <c r="Q13" s="43"/>
    </row>
    <row r="14" spans="1:18" ht="39.6" customHeight="1" outlineLevel="1">
      <c r="A14" s="39" t="s">
        <v>323</v>
      </c>
      <c r="B14" s="39" t="s">
        <v>324</v>
      </c>
      <c r="C14" s="39" t="s">
        <v>325</v>
      </c>
      <c r="D14" s="45" t="s">
        <v>326</v>
      </c>
      <c r="E14" s="45" t="s">
        <v>327</v>
      </c>
      <c r="F14" s="39" t="s">
        <v>51</v>
      </c>
      <c r="G14" s="39" t="s">
        <v>2</v>
      </c>
      <c r="H14" s="39" t="s">
        <v>41</v>
      </c>
      <c r="I14" s="39" t="s">
        <v>51</v>
      </c>
      <c r="J14" s="39" t="s">
        <v>2</v>
      </c>
      <c r="K14" s="39" t="s">
        <v>41</v>
      </c>
      <c r="L14" s="39"/>
      <c r="M14" s="39"/>
      <c r="N14" s="39"/>
      <c r="O14" s="42" t="s">
        <v>65</v>
      </c>
      <c r="Q14" s="43"/>
    </row>
    <row r="15" spans="1:18" s="30" customFormat="1" ht="15.75" customHeight="1">
      <c r="A15" s="79" t="s">
        <v>328</v>
      </c>
      <c r="B15" s="35" t="s">
        <v>329</v>
      </c>
      <c r="C15" s="36" t="s">
        <v>330</v>
      </c>
      <c r="D15" s="36" t="s">
        <v>331</v>
      </c>
      <c r="E15" s="36" t="s">
        <v>332</v>
      </c>
      <c r="F15" s="36" t="s">
        <v>51</v>
      </c>
      <c r="G15" s="36" t="s">
        <v>2</v>
      </c>
      <c r="H15" s="36" t="s">
        <v>41</v>
      </c>
      <c r="I15" s="36" t="s">
        <v>51</v>
      </c>
      <c r="J15" s="36" t="s">
        <v>2</v>
      </c>
      <c r="K15" s="36" t="s">
        <v>41</v>
      </c>
      <c r="L15" s="36"/>
      <c r="M15" s="36"/>
      <c r="N15" s="36"/>
      <c r="O15" s="37" t="s">
        <v>65</v>
      </c>
      <c r="Q15" s="38"/>
    </row>
    <row r="16" spans="1:18" ht="39.6" customHeight="1" outlineLevel="1">
      <c r="A16" s="39" t="s">
        <v>333</v>
      </c>
      <c r="B16" s="39" t="s">
        <v>334</v>
      </c>
      <c r="C16" s="39" t="s">
        <v>335</v>
      </c>
      <c r="D16" s="39" t="s">
        <v>336</v>
      </c>
      <c r="E16" s="39" t="s">
        <v>327</v>
      </c>
      <c r="F16" s="39" t="s">
        <v>51</v>
      </c>
      <c r="G16" s="39" t="s">
        <v>2</v>
      </c>
      <c r="H16" s="39" t="s">
        <v>41</v>
      </c>
      <c r="I16" s="39" t="s">
        <v>51</v>
      </c>
      <c r="J16" s="39" t="s">
        <v>2</v>
      </c>
      <c r="K16" s="39" t="s">
        <v>41</v>
      </c>
      <c r="L16" s="39"/>
      <c r="M16" s="39"/>
      <c r="N16" s="39"/>
      <c r="O16" s="42" t="s">
        <v>65</v>
      </c>
      <c r="Q16" s="43"/>
    </row>
    <row r="17" spans="1:17" ht="26.4" customHeight="1" outlineLevel="1">
      <c r="A17" s="39" t="s">
        <v>337</v>
      </c>
      <c r="B17" s="39" t="s">
        <v>338</v>
      </c>
      <c r="C17" s="39" t="s">
        <v>339</v>
      </c>
      <c r="D17" s="39" t="s">
        <v>340</v>
      </c>
      <c r="E17" s="39" t="s">
        <v>341</v>
      </c>
      <c r="F17" s="39" t="s">
        <v>51</v>
      </c>
      <c r="G17" s="46" t="s">
        <v>2</v>
      </c>
      <c r="H17" s="46" t="s">
        <v>41</v>
      </c>
      <c r="I17" s="39" t="s">
        <v>51</v>
      </c>
      <c r="J17" s="46" t="s">
        <v>2</v>
      </c>
      <c r="K17" s="46" t="s">
        <v>41</v>
      </c>
      <c r="L17" s="39"/>
      <c r="M17" s="46"/>
      <c r="N17" s="46"/>
      <c r="O17" s="46" t="s">
        <v>65</v>
      </c>
    </row>
    <row r="18" spans="1:17" s="30" customFormat="1" ht="15.75" customHeight="1">
      <c r="A18" s="79" t="s">
        <v>342</v>
      </c>
      <c r="B18" s="35" t="s">
        <v>343</v>
      </c>
      <c r="C18" s="36" t="s">
        <v>344</v>
      </c>
      <c r="D18" s="36" t="s">
        <v>313</v>
      </c>
      <c r="E18" s="36" t="s">
        <v>341</v>
      </c>
      <c r="F18" s="36" t="s">
        <v>51</v>
      </c>
      <c r="G18" s="36" t="s">
        <v>2</v>
      </c>
      <c r="H18" s="36" t="s">
        <v>41</v>
      </c>
      <c r="I18" s="36" t="s">
        <v>51</v>
      </c>
      <c r="J18" s="36" t="s">
        <v>2</v>
      </c>
      <c r="K18" s="36" t="s">
        <v>41</v>
      </c>
      <c r="L18" s="36"/>
      <c r="M18" s="36"/>
      <c r="N18" s="36"/>
      <c r="O18" s="37" t="s">
        <v>65</v>
      </c>
      <c r="Q18" s="38"/>
    </row>
    <row r="19" spans="1:17" ht="39.6" customHeight="1" outlineLevel="1">
      <c r="A19" s="39" t="s">
        <v>345</v>
      </c>
      <c r="B19" s="39" t="s">
        <v>346</v>
      </c>
      <c r="C19" s="39" t="s">
        <v>347</v>
      </c>
      <c r="D19" s="39" t="s">
        <v>348</v>
      </c>
      <c r="E19" s="39" t="s">
        <v>349</v>
      </c>
      <c r="F19" s="39" t="s">
        <v>51</v>
      </c>
      <c r="G19" s="39" t="s">
        <v>2</v>
      </c>
      <c r="H19" s="39" t="s">
        <v>41</v>
      </c>
      <c r="I19" s="39" t="s">
        <v>51</v>
      </c>
      <c r="J19" s="39" t="s">
        <v>2</v>
      </c>
      <c r="K19" s="39" t="s">
        <v>41</v>
      </c>
      <c r="L19" s="39"/>
      <c r="M19" s="39"/>
      <c r="N19" s="39"/>
      <c r="O19" s="42" t="s">
        <v>65</v>
      </c>
      <c r="Q19" s="43"/>
    </row>
    <row r="20" spans="1:17">
      <c r="A20" s="1" t="s">
        <v>350</v>
      </c>
      <c r="B20" s="1" t="s">
        <v>351</v>
      </c>
      <c r="C20" s="1" t="s">
        <v>352</v>
      </c>
      <c r="D20" s="1" t="s">
        <v>353</v>
      </c>
      <c r="E20" s="1" t="s">
        <v>354</v>
      </c>
      <c r="F20" s="1" t="s">
        <v>51</v>
      </c>
      <c r="G20" s="1" t="s">
        <v>2</v>
      </c>
      <c r="H20" s="1" t="s">
        <v>41</v>
      </c>
      <c r="I20" s="1" t="s">
        <v>51</v>
      </c>
      <c r="J20" s="1" t="s">
        <v>2</v>
      </c>
      <c r="K20" s="1" t="s">
        <v>41</v>
      </c>
      <c r="O20" s="1" t="s">
        <v>65</v>
      </c>
    </row>
    <row r="21" spans="1:17">
      <c r="A21" s="1" t="s">
        <v>355</v>
      </c>
      <c r="B21" s="1" t="s">
        <v>356</v>
      </c>
      <c r="C21" s="1" t="s">
        <v>357</v>
      </c>
      <c r="D21" s="1" t="s">
        <v>353</v>
      </c>
      <c r="E21" s="1" t="s">
        <v>358</v>
      </c>
      <c r="F21" s="1" t="s">
        <v>51</v>
      </c>
      <c r="G21" s="1" t="s">
        <v>2</v>
      </c>
      <c r="H21" s="1" t="s">
        <v>41</v>
      </c>
      <c r="I21" s="1" t="s">
        <v>51</v>
      </c>
      <c r="J21" s="1" t="s">
        <v>2</v>
      </c>
      <c r="K21" s="1" t="s">
        <v>41</v>
      </c>
      <c r="O21" s="1" t="s">
        <v>65</v>
      </c>
    </row>
    <row r="22" spans="1:17">
      <c r="A22" s="1" t="s">
        <v>359</v>
      </c>
      <c r="B22" s="1" t="s">
        <v>360</v>
      </c>
      <c r="C22" s="1" t="s">
        <v>361</v>
      </c>
      <c r="D22" s="1" t="s">
        <v>362</v>
      </c>
      <c r="E22" s="1" t="s">
        <v>354</v>
      </c>
      <c r="F22" s="1" t="s">
        <v>51</v>
      </c>
      <c r="G22" s="1" t="s">
        <v>2</v>
      </c>
      <c r="H22" s="1" t="s">
        <v>41</v>
      </c>
      <c r="I22" s="1" t="s">
        <v>51</v>
      </c>
      <c r="J22" s="1" t="s">
        <v>2</v>
      </c>
      <c r="K22" s="1" t="s">
        <v>41</v>
      </c>
      <c r="O22" s="1" t="s">
        <v>65</v>
      </c>
    </row>
    <row r="23" spans="1:17">
      <c r="A23" s="1" t="s">
        <v>363</v>
      </c>
      <c r="B23" s="1" t="s">
        <v>364</v>
      </c>
      <c r="C23" s="1" t="s">
        <v>365</v>
      </c>
      <c r="D23" s="1" t="s">
        <v>366</v>
      </c>
      <c r="E23" s="1" t="s">
        <v>367</v>
      </c>
      <c r="F23" s="1" t="s">
        <v>51</v>
      </c>
      <c r="G23" s="1" t="s">
        <v>2</v>
      </c>
      <c r="H23" s="1" t="s">
        <v>41</v>
      </c>
      <c r="I23" s="1" t="s">
        <v>51</v>
      </c>
      <c r="J23" s="1" t="s">
        <v>2</v>
      </c>
      <c r="K23" s="1" t="s">
        <v>41</v>
      </c>
      <c r="O23" s="1" t="s">
        <v>65</v>
      </c>
    </row>
  </sheetData>
  <mergeCells count="3">
    <mergeCell ref="B3:E3"/>
    <mergeCell ref="B2:E2"/>
    <mergeCell ref="B4:E4"/>
  </mergeCells>
  <dataValidations count="2">
    <dataValidation allowBlank="1" showErrorMessage="1" sqref="F10 I10 L10" xr:uid="{00000000-0002-0000-0700-000000000000}"/>
    <dataValidation type="list" allowBlank="1" showErrorMessage="1" sqref="F12:F19 G2:G3 G9 G20:G147 I12:I19 J2:J3 J9 J20:J147 L12:L19 M2:M3 M9 M20:M147" xr:uid="{00000000-0002-0000-0700-000001000000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29"/>
  <sheetViews>
    <sheetView zoomScale="85" zoomScaleNormal="85" workbookViewId="0">
      <pane ySplit="10" topLeftCell="A11" activePane="bottomLeft" state="frozen"/>
      <selection pane="bottomLeft" activeCell="E23" sqref="E23"/>
    </sheetView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8" customWidth="1"/>
    <col min="18" max="18" width="7.6640625" style="1" hidden="1" customWidth="1"/>
    <col min="19" max="19" width="9" style="1" customWidth="1"/>
    <col min="20" max="16384" width="9" style="1"/>
  </cols>
  <sheetData>
    <row r="1" spans="1:18" ht="13.8" customHeight="1" thickBot="1">
      <c r="B1" s="1" t="s">
        <v>37</v>
      </c>
    </row>
    <row r="2" spans="1:18" s="30" customFormat="1" ht="15" customHeight="1">
      <c r="A2" s="92" t="s">
        <v>49</v>
      </c>
      <c r="B2" s="143" t="s">
        <v>39</v>
      </c>
      <c r="C2" s="144"/>
      <c r="D2" s="144"/>
      <c r="E2" s="145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51</v>
      </c>
    </row>
    <row r="3" spans="1:18" s="30" customFormat="1" ht="26.4" customHeight="1">
      <c r="A3" s="93" t="s">
        <v>52</v>
      </c>
      <c r="B3" s="140">
        <v>21</v>
      </c>
      <c r="C3" s="141"/>
      <c r="D3" s="141"/>
      <c r="E3" s="142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53</v>
      </c>
    </row>
    <row r="4" spans="1:18" s="30" customFormat="1" ht="18" customHeight="1">
      <c r="A4" s="93" t="s">
        <v>54</v>
      </c>
      <c r="B4" s="140">
        <f>COUNTA(A12:A1000)</f>
        <v>18</v>
      </c>
      <c r="C4" s="141"/>
      <c r="D4" s="141"/>
      <c r="E4" s="142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55</v>
      </c>
    </row>
    <row r="5" spans="1:18" s="30" customFormat="1" ht="19.5" customHeight="1">
      <c r="A5" s="86" t="s">
        <v>56</v>
      </c>
      <c r="B5" s="84">
        <v>21</v>
      </c>
      <c r="C5" s="84">
        <v>0</v>
      </c>
      <c r="D5" s="84">
        <v>0</v>
      </c>
      <c r="E5" s="87">
        <v>0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57</v>
      </c>
    </row>
    <row r="6" spans="1:18" s="30" customFormat="1" ht="15" customHeight="1">
      <c r="A6" s="86" t="s">
        <v>58</v>
      </c>
      <c r="B6" s="85">
        <v>21</v>
      </c>
      <c r="C6" s="85">
        <v>0</v>
      </c>
      <c r="D6" s="85">
        <v>0</v>
      </c>
      <c r="E6" s="91"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/>
      <c r="B7" s="85"/>
      <c r="C7" s="85"/>
      <c r="D7" s="85"/>
      <c r="E7" s="91"/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59</v>
      </c>
      <c r="B8" s="89">
        <f>COUNTIF($F10:$F998,B5)</f>
        <v>0</v>
      </c>
      <c r="C8" s="89">
        <f>COUNTIF($F10:$F998,C5)</f>
        <v>0</v>
      </c>
      <c r="D8" s="89">
        <f>COUNTIF($F10:$F998,D5)</f>
        <v>0</v>
      </c>
      <c r="E8" s="90">
        <f>COUNTIF($F10:$F998,E5)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 t="s">
        <v>368</v>
      </c>
      <c r="B9" s="31" t="s">
        <v>369</v>
      </c>
      <c r="C9" s="31" t="s">
        <v>370</v>
      </c>
      <c r="D9" s="31" t="s">
        <v>371</v>
      </c>
      <c r="E9" s="31" t="s">
        <v>372</v>
      </c>
      <c r="F9" s="33" t="s">
        <v>51</v>
      </c>
      <c r="G9" s="31" t="s">
        <v>2</v>
      </c>
      <c r="H9" s="31" t="s">
        <v>41</v>
      </c>
      <c r="I9" s="33" t="s">
        <v>51</v>
      </c>
      <c r="J9" s="31" t="s">
        <v>2</v>
      </c>
      <c r="K9" s="31" t="s">
        <v>41</v>
      </c>
      <c r="L9" s="33"/>
      <c r="M9" s="31"/>
      <c r="N9" s="31"/>
      <c r="O9" s="31" t="s">
        <v>65</v>
      </c>
      <c r="P9" s="31"/>
      <c r="Q9" s="32"/>
    </row>
    <row r="10" spans="1:18" s="30" customFormat="1" ht="25.5" customHeight="1">
      <c r="A10" s="83" t="s">
        <v>373</v>
      </c>
      <c r="B10" s="83" t="s">
        <v>374</v>
      </c>
      <c r="C10" s="83" t="s">
        <v>375</v>
      </c>
      <c r="D10" s="83" t="s">
        <v>376</v>
      </c>
      <c r="E10" s="83" t="s">
        <v>372</v>
      </c>
      <c r="F10" s="83" t="s">
        <v>51</v>
      </c>
      <c r="G10" s="83" t="s">
        <v>2</v>
      </c>
      <c r="H10" s="83" t="s">
        <v>41</v>
      </c>
      <c r="I10" s="83" t="s">
        <v>51</v>
      </c>
      <c r="J10" s="83" t="s">
        <v>2</v>
      </c>
      <c r="K10" s="83" t="s">
        <v>41</v>
      </c>
      <c r="L10" s="83"/>
      <c r="M10" s="83"/>
      <c r="N10" s="83"/>
      <c r="O10" s="83" t="s">
        <v>65</v>
      </c>
      <c r="Q10" s="34"/>
    </row>
    <row r="11" spans="1:18" s="30" customFormat="1" ht="15.75" customHeight="1">
      <c r="A11" s="79" t="s">
        <v>377</v>
      </c>
      <c r="B11" s="79" t="s">
        <v>378</v>
      </c>
      <c r="C11" s="80" t="s">
        <v>379</v>
      </c>
      <c r="D11" s="80" t="s">
        <v>380</v>
      </c>
      <c r="E11" s="80" t="s">
        <v>372</v>
      </c>
      <c r="F11" s="80" t="s">
        <v>51</v>
      </c>
      <c r="G11" s="80" t="s">
        <v>2</v>
      </c>
      <c r="H11" s="80" t="s">
        <v>41</v>
      </c>
      <c r="I11" s="80" t="s">
        <v>51</v>
      </c>
      <c r="J11" s="80" t="s">
        <v>2</v>
      </c>
      <c r="K11" s="80" t="s">
        <v>41</v>
      </c>
      <c r="L11" s="80"/>
      <c r="M11" s="80"/>
      <c r="N11" s="80"/>
      <c r="O11" s="81" t="s">
        <v>65</v>
      </c>
      <c r="Q11" s="38"/>
    </row>
    <row r="12" spans="1:18" s="44" customFormat="1" ht="121.05" customHeight="1" outlineLevel="1">
      <c r="A12" s="39" t="s">
        <v>381</v>
      </c>
      <c r="B12" s="40" t="s">
        <v>382</v>
      </c>
      <c r="C12" s="40" t="s">
        <v>383</v>
      </c>
      <c r="D12" s="41" t="s">
        <v>384</v>
      </c>
      <c r="E12" s="41" t="s">
        <v>385</v>
      </c>
      <c r="F12" s="39" t="s">
        <v>51</v>
      </c>
      <c r="G12" s="39" t="s">
        <v>2</v>
      </c>
      <c r="H12" s="39" t="s">
        <v>41</v>
      </c>
      <c r="I12" s="39" t="s">
        <v>51</v>
      </c>
      <c r="J12" s="39" t="s">
        <v>2</v>
      </c>
      <c r="K12" s="39" t="s">
        <v>41</v>
      </c>
      <c r="L12" s="39"/>
      <c r="M12" s="39"/>
      <c r="N12" s="39"/>
      <c r="O12" s="42" t="s">
        <v>65</v>
      </c>
      <c r="Q12" s="43"/>
    </row>
    <row r="13" spans="1:18" ht="39.6" customHeight="1" outlineLevel="1">
      <c r="A13" s="39" t="s">
        <v>386</v>
      </c>
      <c r="B13" s="39" t="s">
        <v>387</v>
      </c>
      <c r="C13" s="39" t="s">
        <v>388</v>
      </c>
      <c r="D13" s="45" t="s">
        <v>389</v>
      </c>
      <c r="E13" s="45" t="s">
        <v>385</v>
      </c>
      <c r="F13" s="39" t="s">
        <v>51</v>
      </c>
      <c r="G13" s="39" t="s">
        <v>2</v>
      </c>
      <c r="H13" s="39" t="s">
        <v>41</v>
      </c>
      <c r="I13" s="39" t="s">
        <v>51</v>
      </c>
      <c r="J13" s="39" t="s">
        <v>2</v>
      </c>
      <c r="K13" s="39" t="s">
        <v>41</v>
      </c>
      <c r="L13" s="39"/>
      <c r="M13" s="39"/>
      <c r="N13" s="39"/>
      <c r="O13" s="42" t="s">
        <v>65</v>
      </c>
      <c r="Q13" s="43"/>
    </row>
    <row r="14" spans="1:18" ht="39.6" customHeight="1" outlineLevel="1">
      <c r="A14" s="39" t="s">
        <v>390</v>
      </c>
      <c r="B14" s="39" t="s">
        <v>391</v>
      </c>
      <c r="C14" s="39" t="s">
        <v>392</v>
      </c>
      <c r="D14" s="45" t="s">
        <v>393</v>
      </c>
      <c r="E14" s="45" t="s">
        <v>372</v>
      </c>
      <c r="F14" s="39" t="s">
        <v>51</v>
      </c>
      <c r="G14" s="39" t="s">
        <v>2</v>
      </c>
      <c r="H14" s="39" t="s">
        <v>41</v>
      </c>
      <c r="I14" s="39" t="s">
        <v>51</v>
      </c>
      <c r="J14" s="39" t="s">
        <v>2</v>
      </c>
      <c r="K14" s="39" t="s">
        <v>41</v>
      </c>
      <c r="L14" s="39"/>
      <c r="M14" s="39"/>
      <c r="N14" s="39"/>
      <c r="O14" s="42" t="s">
        <v>65</v>
      </c>
      <c r="Q14" s="43"/>
    </row>
    <row r="15" spans="1:18" s="30" customFormat="1" ht="15.75" customHeight="1">
      <c r="A15" s="79" t="s">
        <v>394</v>
      </c>
      <c r="B15" s="35" t="s">
        <v>395</v>
      </c>
      <c r="C15" s="36" t="s">
        <v>388</v>
      </c>
      <c r="D15" s="36" t="s">
        <v>393</v>
      </c>
      <c r="E15" s="36" t="s">
        <v>372</v>
      </c>
      <c r="F15" s="36" t="s">
        <v>51</v>
      </c>
      <c r="G15" s="36" t="s">
        <v>2</v>
      </c>
      <c r="H15" s="36" t="s">
        <v>41</v>
      </c>
      <c r="I15" s="36" t="s">
        <v>51</v>
      </c>
      <c r="J15" s="36" t="s">
        <v>2</v>
      </c>
      <c r="K15" s="36" t="s">
        <v>41</v>
      </c>
      <c r="L15" s="36"/>
      <c r="M15" s="36"/>
      <c r="N15" s="36"/>
      <c r="O15" s="37" t="s">
        <v>65</v>
      </c>
      <c r="Q15" s="38"/>
    </row>
    <row r="16" spans="1:18" ht="39.6" customHeight="1" outlineLevel="1">
      <c r="A16" s="39" t="s">
        <v>396</v>
      </c>
      <c r="B16" s="39" t="s">
        <v>397</v>
      </c>
      <c r="C16" s="39" t="s">
        <v>398</v>
      </c>
      <c r="D16" s="39" t="s">
        <v>399</v>
      </c>
      <c r="E16" s="39" t="s">
        <v>400</v>
      </c>
      <c r="F16" s="39" t="s">
        <v>51</v>
      </c>
      <c r="G16" s="39" t="s">
        <v>2</v>
      </c>
      <c r="H16" s="39" t="s">
        <v>41</v>
      </c>
      <c r="I16" s="39" t="s">
        <v>51</v>
      </c>
      <c r="J16" s="39" t="s">
        <v>2</v>
      </c>
      <c r="K16" s="39" t="s">
        <v>41</v>
      </c>
      <c r="L16" s="39"/>
      <c r="M16" s="39"/>
      <c r="N16" s="39"/>
      <c r="O16" s="42" t="s">
        <v>65</v>
      </c>
      <c r="Q16" s="43"/>
    </row>
    <row r="17" spans="1:17" ht="26.4" customHeight="1" outlineLevel="1">
      <c r="A17" s="39" t="s">
        <v>401</v>
      </c>
      <c r="B17" s="39" t="s">
        <v>402</v>
      </c>
      <c r="C17" s="39" t="s">
        <v>403</v>
      </c>
      <c r="D17" s="39" t="s">
        <v>404</v>
      </c>
      <c r="E17" s="39" t="s">
        <v>372</v>
      </c>
      <c r="F17" s="39" t="s">
        <v>51</v>
      </c>
      <c r="G17" s="46" t="s">
        <v>2</v>
      </c>
      <c r="H17" s="46" t="s">
        <v>41</v>
      </c>
      <c r="I17" s="39" t="s">
        <v>51</v>
      </c>
      <c r="J17" s="46" t="s">
        <v>2</v>
      </c>
      <c r="K17" s="46" t="s">
        <v>41</v>
      </c>
      <c r="L17" s="39"/>
      <c r="M17" s="46"/>
      <c r="N17" s="46"/>
      <c r="O17" s="46" t="s">
        <v>65</v>
      </c>
    </row>
    <row r="18" spans="1:17" s="30" customFormat="1" ht="15.75" customHeight="1">
      <c r="A18" s="79" t="s">
        <v>405</v>
      </c>
      <c r="B18" s="35" t="s">
        <v>406</v>
      </c>
      <c r="C18" s="36" t="s">
        <v>407</v>
      </c>
      <c r="D18" s="36" t="s">
        <v>408</v>
      </c>
      <c r="E18" s="36" t="s">
        <v>372</v>
      </c>
      <c r="F18" s="36" t="s">
        <v>51</v>
      </c>
      <c r="G18" s="36" t="s">
        <v>2</v>
      </c>
      <c r="H18" s="36" t="s">
        <v>41</v>
      </c>
      <c r="I18" s="36" t="s">
        <v>51</v>
      </c>
      <c r="J18" s="36" t="s">
        <v>2</v>
      </c>
      <c r="K18" s="36" t="s">
        <v>41</v>
      </c>
      <c r="L18" s="36"/>
      <c r="M18" s="36"/>
      <c r="N18" s="36"/>
      <c r="O18" s="37" t="s">
        <v>65</v>
      </c>
      <c r="Q18" s="38"/>
    </row>
    <row r="19" spans="1:17" ht="39.6" customHeight="1" outlineLevel="1">
      <c r="A19" s="39" t="s">
        <v>409</v>
      </c>
      <c r="B19" s="39" t="s">
        <v>410</v>
      </c>
      <c r="C19" s="39" t="s">
        <v>411</v>
      </c>
      <c r="D19" s="39" t="s">
        <v>408</v>
      </c>
      <c r="E19" s="39" t="s">
        <v>372</v>
      </c>
      <c r="F19" s="39" t="s">
        <v>51</v>
      </c>
      <c r="G19" s="39" t="s">
        <v>2</v>
      </c>
      <c r="H19" s="39" t="s">
        <v>41</v>
      </c>
      <c r="I19" s="39" t="s">
        <v>51</v>
      </c>
      <c r="J19" s="39" t="s">
        <v>2</v>
      </c>
      <c r="K19" s="39" t="s">
        <v>41</v>
      </c>
      <c r="L19" s="39"/>
      <c r="M19" s="39"/>
      <c r="N19" s="39"/>
      <c r="O19" s="42" t="s">
        <v>65</v>
      </c>
      <c r="Q19" s="43"/>
    </row>
    <row r="20" spans="1:17">
      <c r="A20" s="1" t="s">
        <v>412</v>
      </c>
      <c r="B20" s="1" t="s">
        <v>413</v>
      </c>
      <c r="C20" s="1" t="s">
        <v>414</v>
      </c>
      <c r="D20" s="1" t="s">
        <v>415</v>
      </c>
      <c r="E20" s="1" t="s">
        <v>372</v>
      </c>
      <c r="F20" s="1" t="s">
        <v>51</v>
      </c>
      <c r="G20" s="1" t="s">
        <v>2</v>
      </c>
      <c r="H20" s="1" t="s">
        <v>41</v>
      </c>
      <c r="I20" s="1" t="s">
        <v>51</v>
      </c>
      <c r="J20" s="1" t="s">
        <v>2</v>
      </c>
      <c r="K20" s="1" t="s">
        <v>41</v>
      </c>
      <c r="O20" s="1" t="s">
        <v>65</v>
      </c>
    </row>
    <row r="21" spans="1:17">
      <c r="A21" s="1" t="s">
        <v>416</v>
      </c>
      <c r="B21" s="1" t="s">
        <v>417</v>
      </c>
      <c r="C21" s="1" t="s">
        <v>418</v>
      </c>
      <c r="D21" s="1" t="s">
        <v>419</v>
      </c>
      <c r="E21" s="1" t="s">
        <v>109</v>
      </c>
      <c r="F21" s="1" t="s">
        <v>51</v>
      </c>
      <c r="G21" s="1" t="s">
        <v>2</v>
      </c>
      <c r="H21" s="1" t="s">
        <v>41</v>
      </c>
      <c r="I21" s="1" t="s">
        <v>51</v>
      </c>
      <c r="J21" s="1" t="s">
        <v>2</v>
      </c>
      <c r="K21" s="1" t="s">
        <v>41</v>
      </c>
      <c r="O21" s="1" t="s">
        <v>65</v>
      </c>
    </row>
    <row r="22" spans="1:17">
      <c r="A22" s="1" t="s">
        <v>420</v>
      </c>
      <c r="B22" s="1" t="s">
        <v>421</v>
      </c>
      <c r="C22" s="1" t="s">
        <v>422</v>
      </c>
      <c r="D22" s="1" t="s">
        <v>419</v>
      </c>
      <c r="E22" s="1" t="s">
        <v>109</v>
      </c>
      <c r="F22" s="1" t="s">
        <v>51</v>
      </c>
      <c r="G22" s="1" t="s">
        <v>2</v>
      </c>
      <c r="H22" s="1" t="s">
        <v>41</v>
      </c>
      <c r="I22" s="1" t="s">
        <v>51</v>
      </c>
      <c r="J22" s="1" t="s">
        <v>2</v>
      </c>
      <c r="K22" s="1" t="s">
        <v>41</v>
      </c>
      <c r="O22" s="1" t="s">
        <v>65</v>
      </c>
    </row>
    <row r="23" spans="1:17">
      <c r="A23" s="1" t="s">
        <v>423</v>
      </c>
      <c r="B23" s="1" t="s">
        <v>424</v>
      </c>
      <c r="C23" s="1" t="s">
        <v>425</v>
      </c>
      <c r="D23" s="1" t="s">
        <v>419</v>
      </c>
      <c r="E23" s="1" t="s">
        <v>109</v>
      </c>
      <c r="F23" s="1" t="s">
        <v>51</v>
      </c>
      <c r="G23" s="1" t="s">
        <v>2</v>
      </c>
      <c r="H23" s="1" t="s">
        <v>41</v>
      </c>
      <c r="I23" s="1" t="s">
        <v>51</v>
      </c>
      <c r="J23" s="1" t="s">
        <v>2</v>
      </c>
      <c r="K23" s="1" t="s">
        <v>41</v>
      </c>
      <c r="O23" s="1" t="s">
        <v>65</v>
      </c>
    </row>
    <row r="24" spans="1:17">
      <c r="A24" s="1" t="s">
        <v>426</v>
      </c>
      <c r="B24" s="1" t="s">
        <v>427</v>
      </c>
      <c r="C24" s="1" t="s">
        <v>428</v>
      </c>
      <c r="D24" s="1" t="s">
        <v>429</v>
      </c>
      <c r="E24" s="1" t="s">
        <v>109</v>
      </c>
      <c r="F24" s="1" t="s">
        <v>51</v>
      </c>
      <c r="G24" s="1" t="s">
        <v>2</v>
      </c>
      <c r="H24" s="1" t="s">
        <v>41</v>
      </c>
      <c r="I24" s="1" t="s">
        <v>51</v>
      </c>
      <c r="J24" s="1" t="s">
        <v>2</v>
      </c>
      <c r="K24" s="1" t="s">
        <v>41</v>
      </c>
      <c r="O24" s="1" t="s">
        <v>65</v>
      </c>
    </row>
    <row r="25" spans="1:17">
      <c r="A25" s="1" t="s">
        <v>430</v>
      </c>
      <c r="B25" s="1" t="s">
        <v>431</v>
      </c>
      <c r="C25" s="1" t="s">
        <v>432</v>
      </c>
      <c r="D25" s="1" t="s">
        <v>429</v>
      </c>
      <c r="E25" s="1" t="s">
        <v>109</v>
      </c>
      <c r="F25" s="1" t="s">
        <v>51</v>
      </c>
      <c r="G25" s="1" t="s">
        <v>2</v>
      </c>
      <c r="H25" s="1" t="s">
        <v>41</v>
      </c>
      <c r="I25" s="1" t="s">
        <v>51</v>
      </c>
      <c r="J25" s="1" t="s">
        <v>2</v>
      </c>
      <c r="K25" s="1" t="s">
        <v>41</v>
      </c>
      <c r="O25" s="1" t="s">
        <v>65</v>
      </c>
    </row>
    <row r="26" spans="1:17">
      <c r="A26" s="1" t="s">
        <v>433</v>
      </c>
      <c r="B26" s="1" t="s">
        <v>434</v>
      </c>
      <c r="C26" s="1" t="s">
        <v>435</v>
      </c>
      <c r="D26" s="1" t="s">
        <v>436</v>
      </c>
      <c r="E26" s="1" t="s">
        <v>109</v>
      </c>
      <c r="F26" s="1" t="s">
        <v>51</v>
      </c>
      <c r="G26" s="1" t="s">
        <v>2</v>
      </c>
      <c r="H26" s="1" t="s">
        <v>41</v>
      </c>
      <c r="I26" s="1" t="s">
        <v>51</v>
      </c>
      <c r="J26" s="1" t="s">
        <v>2</v>
      </c>
      <c r="K26" s="1" t="s">
        <v>41</v>
      </c>
      <c r="O26" s="1" t="s">
        <v>65</v>
      </c>
    </row>
    <row r="27" spans="1:17">
      <c r="A27" s="1" t="s">
        <v>437</v>
      </c>
      <c r="B27" s="1" t="s">
        <v>438</v>
      </c>
      <c r="C27" s="1" t="s">
        <v>439</v>
      </c>
      <c r="D27" s="1" t="s">
        <v>440</v>
      </c>
      <c r="E27" s="1" t="s">
        <v>109</v>
      </c>
      <c r="F27" s="1" t="s">
        <v>51</v>
      </c>
      <c r="G27" s="1" t="s">
        <v>2</v>
      </c>
      <c r="H27" s="1" t="s">
        <v>41</v>
      </c>
      <c r="I27" s="1" t="s">
        <v>51</v>
      </c>
      <c r="J27" s="1" t="s">
        <v>2</v>
      </c>
      <c r="K27" s="1" t="s">
        <v>41</v>
      </c>
      <c r="O27" s="1" t="s">
        <v>65</v>
      </c>
    </row>
    <row r="28" spans="1:17">
      <c r="A28" s="1" t="s">
        <v>441</v>
      </c>
      <c r="B28" s="1" t="s">
        <v>442</v>
      </c>
      <c r="C28" s="1" t="s">
        <v>443</v>
      </c>
      <c r="D28" s="1" t="s">
        <v>440</v>
      </c>
      <c r="E28" s="1" t="s">
        <v>109</v>
      </c>
      <c r="F28" s="1" t="s">
        <v>51</v>
      </c>
      <c r="G28" s="1" t="s">
        <v>2</v>
      </c>
      <c r="H28" s="1" t="s">
        <v>41</v>
      </c>
      <c r="I28" s="1" t="s">
        <v>51</v>
      </c>
      <c r="J28" s="1" t="s">
        <v>2</v>
      </c>
      <c r="K28" s="1" t="s">
        <v>41</v>
      </c>
      <c r="O28" s="1" t="s">
        <v>65</v>
      </c>
    </row>
    <row r="29" spans="1:17">
      <c r="A29" s="1" t="s">
        <v>444</v>
      </c>
      <c r="B29" s="1" t="s">
        <v>445</v>
      </c>
      <c r="C29" s="1" t="s">
        <v>446</v>
      </c>
      <c r="D29" s="1" t="s">
        <v>429</v>
      </c>
      <c r="E29" s="1" t="s">
        <v>109</v>
      </c>
      <c r="F29" s="1" t="s">
        <v>51</v>
      </c>
      <c r="G29" s="1" t="s">
        <v>2</v>
      </c>
      <c r="H29" s="1" t="s">
        <v>41</v>
      </c>
      <c r="I29" s="1" t="s">
        <v>51</v>
      </c>
      <c r="J29" s="1" t="s">
        <v>2</v>
      </c>
      <c r="K29" s="1" t="s">
        <v>41</v>
      </c>
      <c r="O29" s="1" t="s">
        <v>65</v>
      </c>
    </row>
  </sheetData>
  <mergeCells count="3">
    <mergeCell ref="B3:E3"/>
    <mergeCell ref="B2:E2"/>
    <mergeCell ref="B4:E4"/>
  </mergeCells>
  <dataValidations count="2">
    <dataValidation allowBlank="1" showErrorMessage="1" sqref="F10 I10 L10" xr:uid="{00000000-0002-0000-0800-000000000000}"/>
    <dataValidation type="list" allowBlank="1" showErrorMessage="1" sqref="F12:F19 G2:G3 G9 G20:G147 I12:I19 J2:J3 J9 J20:J147 L12:L19 M2:M3 M9 M20:M147" xr:uid="{00000000-0002-0000-0800-000001000000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Test Cases</vt:lpstr>
      <vt:lpstr>Test Statistics</vt:lpstr>
      <vt:lpstr>Authentication</vt:lpstr>
      <vt:lpstr>Cart and Checkout</vt:lpstr>
      <vt:lpstr>Payment and Cancellation</vt:lpstr>
      <vt:lpstr>Delivery</vt:lpstr>
      <vt:lpstr>Returns Refunds and Exchanges</vt:lpstr>
      <vt:lpstr>API Authorization and Robustnes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Dũng Vũ</cp:lastModifiedBy>
  <cp:lastPrinted>2010-11-12T10:33:20Z</cp:lastPrinted>
  <dcterms:created xsi:type="dcterms:W3CDTF">2020-03-17T17:34:29Z</dcterms:created>
  <dcterms:modified xsi:type="dcterms:W3CDTF">2026-08-16T23:33:31Z</dcterms:modified>
  <cp:category>BM</cp:category>
</cp:coreProperties>
</file>